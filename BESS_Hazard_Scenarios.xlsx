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enarios" sheetId="2" state="visible" r:id="rId4"/>
    <sheet name="Safety functions" sheetId="3" state="visible" r:id="rId5"/>
    <sheet name="Other measures" sheetId="4" state="visible" r:id="rId6"/>
    <sheet name="Lists" sheetId="5" state="visible" r:id="rId7"/>
    <sheet name="Page text" sheetId="6" state="visible" r:id="rId8"/>
    <sheet name="Checks" sheetId="7" state="visible" r:id="rId9"/>
  </sheets>
  <definedNames>
    <definedName function="false" hidden="true" localSheetId="3" name="_xlnm._FilterDatabase" vbProcedure="false">'Other measures'!$A$1:$B$18</definedName>
    <definedName function="false" hidden="true" localSheetId="2" name="_xlnm._FilterDatabase" vbProcedure="false">'Safety functions'!$A$1:$M$35</definedName>
    <definedName function="false" hidden="true" localSheetId="1" name="_xlnm._FilterDatabase" vbProcedure="false">Scenarios!$A$1:$P$57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<sst xmlns="http://schemas.openxmlformats.org/spreadsheetml/2006/main" count="1429" uniqueCount="1000">
  <si>
    <t xml:space="preserve">BESS hazardous scenarios – source workbook for the HTML page</t>
  </si>
  <si>
    <t xml:space="preserve">This workbook is the single source for the HTML. Edit it, then upload it and ask Claude to rebuild the HTML (or run build_html.py yourself: python build_html.py this_file.xlsx).</t>
  </si>
  <si>
    <t xml:space="preserve">Rules</t>
  </si>
  <si>
    <t xml:space="preserve">• Do not rename sheets or header cells (row 1). Add rows at the bottom of a table; delete a row to remove an item. Column order may not change.</t>
  </si>
  <si>
    <t xml:space="preserve">• Cells with several items: put ONE ITEM PER LINE inside the cell (Alt+Enter in Excel). Used in: Sequence steps, Consequences, Hazards, Hazard types.</t>
  </si>
  <si>
    <t xml:space="preserve">• SF IDs in Scenarios: comma-separated, e.g. SF-01, SF-11. The 'Covers' list of each safety function is built automatically from this column – do not maintain it twice.</t>
  </si>
  <si>
    <t xml:space="preserve">• Component, Group, Primary hazard type and Hazard types must match a name in the Lists sheet (dropdowns help). A new component needs a row in Lists with a colour.</t>
  </si>
  <si>
    <t xml:space="preserve">• Final element tags (Safety functions): semicolon-separated short names. They drive the 'Shared elements' bars. Use the same spelling for the same device.</t>
  </si>
  <si>
    <t xml:space="preserve">• Page text: plain text. Write a scenario ID in square brackets, e.g. [OC-03], to turn it into a clickable link.</t>
  </si>
  <si>
    <t xml:space="preserve">• Grey columns are formulas (checks only). They are ignored by the HTML builder.</t>
  </si>
  <si>
    <t xml:space="preserve">Sheets</t>
  </si>
  <si>
    <t xml:space="preserve">Scenarios – one row per initiating event (IE = technical condition + mechanism → sequence → consequences → hazard).</t>
  </si>
  <si>
    <t xml:space="preserve">Safety functions – one row per SF: sensor → logic solver → final element.</t>
  </si>
  <si>
    <t xml:space="preserve">Other measures – passive / design / administrative measures (no sensor–logic–actuator).</t>
  </si>
  <si>
    <t xml:space="preserve">Lists – components (colour, PCS/BMS panel text), groups (order), hazard types (icon, filter), SF types (filter chips).</t>
  </si>
  <si>
    <t xml:space="preserve">Page text – headings and notes shown on the page.</t>
  </si>
  <si>
    <t xml:space="preserve">Checks – counts and reference checks.</t>
  </si>
  <si>
    <t xml:space="preserve">ID</t>
  </si>
  <si>
    <t xml:space="preserve">Group</t>
  </si>
  <si>
    <t xml:space="preserve">Component (IE owner)</t>
  </si>
  <si>
    <t xml:space="preserve">Operating mode / phase</t>
  </si>
  <si>
    <t xml:space="preserve">Initiating event (summary)</t>
  </si>
  <si>
    <t xml:space="preserve">IE – Technical condition</t>
  </si>
  <si>
    <t xml:space="preserve">IE – Mechanism</t>
  </si>
  <si>
    <t xml:space="preserve">Sequence steps
(one per line)</t>
  </si>
  <si>
    <t xml:space="preserve">Consequences
(one per line)</t>
  </si>
  <si>
    <t xml:space="preserve">Hazards – person harmed
(one per line)</t>
  </si>
  <si>
    <t xml:space="preserve">Exposed persons</t>
  </si>
  <si>
    <t xml:space="preserve">Primary hazard type</t>
  </si>
  <si>
    <t xml:space="preserve">Hazard types
(one per line)</t>
  </si>
  <si>
    <t xml:space="preserve">Early signal / detectable deviation</t>
  </si>
  <si>
    <t xml:space="preserve">SF IDs
(comma-separated)</t>
  </si>
  <si>
    <t xml:space="preserve">Check: unknown SF IDs</t>
  </si>
  <si>
    <t xml:space="preserve">OV-01</t>
  </si>
  <si>
    <t xml:space="preserve">Overcharge / Overvoltage</t>
  </si>
  <si>
    <t xml:space="preserve">PCS</t>
  </si>
  <si>
    <t xml:space="preserve">Normal operation (charging)</t>
  </si>
  <si>
    <t xml:space="preserve">PCS fails to follow BMS charge limit / stop request</t>
  </si>
  <si>
    <t xml:space="preserve">PCS charge controller (current/voltage loop) failed – BMS limits and stop request are correct</t>
  </si>
  <si>
    <t xml:space="preserve">PCS control or firmware fault ignores the BMS charge limit / stop request and keeps charging (setpoint stuck)</t>
  </si>
  <si>
    <t xml:space="preserve">BMS requests stop
PCS keeps charging
cell overvoltage
Li plating / cathode decomposition
cell self-heating
TR</t>
  </si>
  <si>
    <t xml:space="preserve">Cell thermal runaway (TR) → propagation to adjacent cells/modules
flammable + toxic vent gas (H2, CO, HF, VOC) release
module/rack fire
possible deflagration in enclosure
fire spread to adjacent containers/PCS</t>
  </si>
  <si>
    <t xml:space="preserve">Technician/firefighter at or near the container is exposed to fire, jet flame and radiant heat → burns.
Person opening or standing at the enclosure door is exposed to deflagration overpressure, fireball and projectiles (door, panels).
Personnel/public downwind inhale toxic combustion gases (HF, CO, HCN) → poisoning.</t>
  </si>
  <si>
    <t xml:space="preserve">O&amp;M technicians, firefighters, public near site fence / downwind</t>
  </si>
  <si>
    <t xml:space="preserve">Fire</t>
  </si>
  <si>
    <t xml:space="preserve">Fire
Explosion
Toxic</t>
  </si>
  <si>
    <t xml:space="preserve">Cell V &gt; Vmax; SOC &gt; 100 %; charge current still flowing at EoC; cell temp rise; off-gas</t>
  </si>
  <si>
    <t xml:space="preserve">SF-01, SF-11</t>
  </si>
  <si>
    <t xml:space="preserve">OV-02</t>
  </si>
  <si>
    <t xml:space="preserve">BMS–PCS comm link</t>
  </si>
  <si>
    <t xml:space="preserve">Loss of BMS–PCS communication with PCS continuing last charge setpoint</t>
  </si>
  <si>
    <t xml:space="preserve">Loss of BMS–PCS communication (CAN/Modbus/Ethernet link down)</t>
  </si>
  <si>
    <t xml:space="preserve">Link down; PCS has no comm-loss watchdog and keeps running at last received charge setpoint</t>
  </si>
  <si>
    <t xml:space="preserve">No charge-limit updates reach PCS
charging continues past limits
cell overvoltage
TR</t>
  </si>
  <si>
    <t xml:space="preserve">Comm heartbeat lost; cell V rising; SOC &gt; limit</t>
  </si>
  <si>
    <t xml:space="preserve">SF-01, SF-02, SF-11</t>
  </si>
  <si>
    <t xml:space="preserve">OV-03</t>
  </si>
  <si>
    <t xml:space="preserve">BMS</t>
  </si>
  <si>
    <t xml:space="preserve">BMS cell-voltage sensing error causes undetected overcharge</t>
  </si>
  <si>
    <t xml:space="preserve">BMS cell-voltage measurement drifts low (AFE / ADC reference drift, wiring resistance)</t>
  </si>
  <si>
    <t xml:space="preserve">BMS believes cells are below limit and permits charging while actual cell voltage exceeds Vmax</t>
  </si>
  <si>
    <t xml:space="preserve">Measured V &lt; actual V
BMS does not request stop
real cell overvoltage
TR</t>
  </si>
  <si>
    <t xml:space="preserve">Discrepancy between cell-sum and string voltage; redundant measurement mismatch</t>
  </si>
  <si>
    <t xml:space="preserve">OV-04</t>
  </si>
  <si>
    <t xml:space="preserve">Single-cell overcharge due to imbalance / balancing failure</t>
  </si>
  <si>
    <t xml:space="preserve">Cell imbalance: weak/low-capacity cell or failed balancing circuit</t>
  </si>
  <si>
    <t xml:space="preserve">String-level voltage looks normal while one cell is driven above Vmax</t>
  </si>
  <si>
    <t xml:space="preserve">Weak cell reaches full charge first
continues to be charged with string
local overvoltage
TR of that cell
propagation</t>
  </si>
  <si>
    <t xml:space="preserve">Max-min cell voltage spread increasing; single cell V &gt; Vmax</t>
  </si>
  <si>
    <t xml:space="preserve">OV-05</t>
  </si>
  <si>
    <t xml:space="preserve">SOC estimation error leads to charging beyond true capacity</t>
  </si>
  <si>
    <t xml:space="preserve">SOC estimation error (coulomb-counting drift, wrong OCV table, SOH not updated)</t>
  </si>
  <si>
    <t xml:space="preserve">EMS dispatches charge based on false SOC; cells charged beyond true 100 % SOC</t>
  </si>
  <si>
    <t xml:space="preserve">EMS charge command continues
actual SOC &gt; 100 %
overvoltage
TR</t>
  </si>
  <si>
    <t xml:space="preserve">Cell V vs SOC mismatch; V at top limit while SOC &lt; 100 %</t>
  </si>
  <si>
    <t xml:space="preserve">OV-06</t>
  </si>
  <si>
    <t xml:space="preserve">BMS sends wrong charge limit / no stop request</t>
  </si>
  <si>
    <t xml:space="preserve">BMS charge-limit logic failed (software/logic error) – PCS itself works correctly</t>
  </si>
  <si>
    <t xml:space="preserve">BMS sends wrong charge limits (CCL/CVL too high) or never sends the end-of-charge request; PCS follows the wrong command</t>
  </si>
  <si>
    <t xml:space="preserve">PCS follows BMS command
charging continues past limit
cell overvoltage
TR</t>
  </si>
  <si>
    <t xml:space="preserve">Cell V &gt; Vmax while BMS CCL &gt; 0; CVL above cell rating</t>
  </si>
  <si>
    <t xml:space="preserve">OD-01</t>
  </si>
  <si>
    <t xml:space="preserve">Overdischarge / Low-temperature charging</t>
  </si>
  <si>
    <t xml:space="preserve">Idle / long standby, then recharge</t>
  </si>
  <si>
    <t xml:space="preserve">Overdischarge followed by recharge of damaged cells</t>
  </si>
  <si>
    <t xml:space="preserve">Cells driven below minimum voltage (UV cutoff failed, or parasitic BMS/aux load during long idle)</t>
  </si>
  <si>
    <t xml:space="preserve">Copper current collector dissolves; on subsequent recharge Cu redeposits as dendrites</t>
  </si>
  <si>
    <t xml:space="preserve">Cell V &lt; Vmin
Cu dissolution
recharge
Cu dendrites pierce separator
internal short
TR</t>
  </si>
  <si>
    <t xml:space="preserve">Cell V &lt; Vmin (history); abnormal self-discharge</t>
  </si>
  <si>
    <t xml:space="preserve">SF-04</t>
  </si>
  <si>
    <t xml:space="preserve">OD-02</t>
  </si>
  <si>
    <t xml:space="preserve">Thermal management (HVAC)</t>
  </si>
  <si>
    <t xml:space="preserve">Normal operation (charging) in cold climate</t>
  </si>
  <si>
    <t xml:space="preserve">Charging at low cell temperature</t>
  </si>
  <si>
    <t xml:space="preserve">Enclosure/battery heater failed in cold climate (HVAC heating function)</t>
  </si>
  <si>
    <t xml:space="preserve">Cells stay below charge-temperature limit and are charged anyway → lithium plating on anode</t>
  </si>
  <si>
    <t xml:space="preserve">Li plating
dendrite growth
internal short (possibly delayed)
TR</t>
  </si>
  <si>
    <t xml:space="preserve">Cell T &lt; Tmin_charge while I_charge &gt; 0</t>
  </si>
  <si>
    <t xml:space="preserve">SF-05</t>
  </si>
  <si>
    <t xml:space="preserve">OC-01</t>
  </si>
  <si>
    <t xml:space="preserve">Overcurrent / Short circuit</t>
  </si>
  <si>
    <t xml:space="preserve">Normal operation</t>
  </si>
  <si>
    <t xml:space="preserve">PCS overcurrent due to current-control failure</t>
  </si>
  <si>
    <t xml:space="preserve">PCS current control failure (sensor fault, control loop instability)</t>
  </si>
  <si>
    <t xml:space="preserve">Charge/discharge current above cell/busbar rating</t>
  </si>
  <si>
    <t xml:space="preserve">Excess current
Joule heating in cells, busbars, cables
cell overtemperature / insulation melting
TR or cable fire</t>
  </si>
  <si>
    <t xml:space="preserve">Cell overheating / TR
busbar or DC cable overheating and insulation fire
arc</t>
  </si>
  <si>
    <t xml:space="preserve">Personnel near container/PCS exposed to fire and radiant heat → burns.
Personnel inhale toxic smoke from cable/cell fire.</t>
  </si>
  <si>
    <t xml:space="preserve">O&amp;M technicians, firefighters</t>
  </si>
  <si>
    <t xml:space="preserve">Fire
Toxic</t>
  </si>
  <si>
    <t xml:space="preserve">Rack current &gt; Imax; busbar/cable temperature</t>
  </si>
  <si>
    <t xml:space="preserve">SF-06</t>
  </si>
  <si>
    <t xml:space="preserve">OC-02</t>
  </si>
  <si>
    <t xml:space="preserve">DC electrical</t>
  </si>
  <si>
    <t xml:space="preserve">Normal operation / maintenance</t>
  </si>
  <si>
    <t xml:space="preserve">External DC short circuit</t>
  </si>
  <si>
    <t xml:space="preserve">Insulation breakdown between DC+ and DC– (damaged cable, degraded busbar insulation, conductive debris, dropped tool)</t>
  </si>
  <si>
    <t xml:space="preserve">Bolted/arcing external short circuit fed by battery (tens of kA)</t>
  </si>
  <si>
    <t xml:space="preserve">Very high fault current
DC arc, busbar melting, cell heating
fire; possible TR</t>
  </si>
  <si>
    <t xml:space="preserve">DC arc flash
molten metal ejection
rack fire
possible TR
loss of DC isolation</t>
  </si>
  <si>
    <t xml:space="preserve">Technician near the rack/combiner is exposed to DC arc flash (thermal burns, eye injury, blast).
Personnel exposed to subsequent fire.</t>
  </si>
  <si>
    <t xml:space="preserve">O&amp;M technicians</t>
  </si>
  <si>
    <t xml:space="preserve">Arc flash</t>
  </si>
  <si>
    <t xml:space="preserve">Arc flash
Fire</t>
  </si>
  <si>
    <t xml:space="preserve">DC fault current; rapid voltage collapse; arc fault detection</t>
  </si>
  <si>
    <t xml:space="preserve">SF-06, SF-07</t>
  </si>
  <si>
    <t xml:space="preserve">OC-03</t>
  </si>
  <si>
    <t xml:space="preserve">Start-up / energization</t>
  </si>
  <si>
    <t xml:space="preserve">Pre-charge failure causes contactor welding</t>
  </si>
  <si>
    <t xml:space="preserve">Pre-charge circuit failed (resistor open, pre-charge bypassed)</t>
  </si>
  <si>
    <t xml:space="preserve">Main contactor closes onto discharged PCS DC-link capacitors → large inrush → contacts weld</t>
  </si>
  <si>
    <t xml:space="preserve">Inrush current
contactor contacts weld
contactor shows 'open' command but stays closed
DC side remains energized / isolation lost</t>
  </si>
  <si>
    <t xml:space="preserve">Welded contactor (loss of isolation / loss of trip function)
DC-link capacitor damage
arc</t>
  </si>
  <si>
    <t xml:space="preserve">Technician trusts the 'isolated' status and works on DC side that is still live → electric shock / arc flash.</t>
  </si>
  <si>
    <t xml:space="preserve">Electric shock</t>
  </si>
  <si>
    <t xml:space="preserve">Electric shock
Arc flash</t>
  </si>
  <si>
    <t xml:space="preserve">Contactor auxiliary contact vs voltage mismatch; inrush current</t>
  </si>
  <si>
    <t xml:space="preserve">SF-08, SF-19</t>
  </si>
  <si>
    <t xml:space="preserve">OC-04</t>
  </si>
  <si>
    <t xml:space="preserve">Loose / high-resistance electrical connection</t>
  </si>
  <si>
    <t xml:space="preserve">High-resistance joint (bolt torque loss from thermal cycling/vibration, corrosion)</t>
  </si>
  <si>
    <t xml:space="preserve">Local Joule heating at the joint → hotspot</t>
  </si>
  <si>
    <t xml:space="preserve">Hotspot
insulation melting / arcing
adjacent cell heating
TR or rack fire</t>
  </si>
  <si>
    <t xml:space="preserve">Local fire at joint
arc
cell TR of nearby cells</t>
  </si>
  <si>
    <t xml:space="preserve">Fire
Arc flash
Toxic</t>
  </si>
  <si>
    <t xml:space="preserve">Joint temperature; voltage drop across connection; IR thermography</t>
  </si>
  <si>
    <t xml:space="preserve">SF-07, SF-09</t>
  </si>
  <si>
    <t xml:space="preserve">IC-01</t>
  </si>
  <si>
    <t xml:space="preserve">Internal cell defect</t>
  </si>
  <si>
    <t xml:space="preserve">Battery cell</t>
  </si>
  <si>
    <t xml:space="preserve">Normal operation (any SOC)</t>
  </si>
  <si>
    <t xml:space="preserve">Internal short circuit from manufacturing defect</t>
  </si>
  <si>
    <t xml:space="preserve">Latent manufacturing defect (metal particle, separator defect, electrode misalignment)</t>
  </si>
  <si>
    <t xml:space="preserve">Defect grows into internal short circuit during cycling</t>
  </si>
  <si>
    <t xml:space="preserve">Internal short
local heating
TR (can occur even with all controls working)
propagation</t>
  </si>
  <si>
    <t xml:space="preserve">Abnormal self-discharge; local temp rise; early off-gas (H2 / VOC)</t>
  </si>
  <si>
    <t xml:space="preserve">SF-11, SF-16</t>
  </si>
  <si>
    <t xml:space="preserve">IC-02</t>
  </si>
  <si>
    <t xml:space="preserve">Late life</t>
  </si>
  <si>
    <t xml:space="preserve">End-of-life degradation leads to internal short</t>
  </si>
  <si>
    <t xml:space="preserve">Cell aged beyond SOH limit (SEI growth, gas generation, swelling)</t>
  </si>
  <si>
    <t xml:space="preserve">Mechanical stress / separator degradation → internal short</t>
  </si>
  <si>
    <t xml:space="preserve">Swelling / separator breach
internal short
TR</t>
  </si>
  <si>
    <t xml:space="preserve">SOH trend; internal resistance rise; swelling</t>
  </si>
  <si>
    <t xml:space="preserve">SF-11</t>
  </si>
  <si>
    <t xml:space="preserve">TM-01</t>
  </si>
  <si>
    <t xml:space="preserve">Thermal management / Overtemperature</t>
  </si>
  <si>
    <t xml:space="preserve">Normal operation (high C-rate)</t>
  </si>
  <si>
    <t xml:space="preserve">Loss of battery cooling during operation</t>
  </si>
  <si>
    <t xml:space="preserve">Cooling system failure (compressor trip, fan failure, pump failure / loss of coolant flow)</t>
  </si>
  <si>
    <t xml:space="preserve">Heat generated by operation is not removed; cell temperature rises beyond limit</t>
  </si>
  <si>
    <t xml:space="preserve">Cell T rises
accelerated side reactions
self-heating
TR</t>
  </si>
  <si>
    <t xml:space="preserve">Cell / air / coolant temperature; HVAC status; coolant flow</t>
  </si>
  <si>
    <t xml:space="preserve">SF-10, SF-16</t>
  </si>
  <si>
    <t xml:space="preserve">TM-02</t>
  </si>
  <si>
    <t xml:space="preserve">Normal operation (hot season)</t>
  </si>
  <si>
    <t xml:space="preserve">Ambient heat exceeds cooling capacity</t>
  </si>
  <si>
    <t xml:space="preserve">Extreme ambient heat with undersized or fouled HVAC (blocked condenser, dust, vegetation), solar gain</t>
  </si>
  <si>
    <t xml:space="preserve">Cooling capacity insufficient; enclosure and cell temperature exceed limits</t>
  </si>
  <si>
    <t xml:space="preserve">Enclosure T rises
cell T &gt; limit
TR (or accelerated degradation)</t>
  </si>
  <si>
    <t xml:space="preserve">Ambient / enclosure temperature; HVAC load</t>
  </si>
  <si>
    <t xml:space="preserve">SF-10</t>
  </si>
  <si>
    <t xml:space="preserve">TM-03</t>
  </si>
  <si>
    <t xml:space="preserve">Undetected cell overtemperature due to sensing failure</t>
  </si>
  <si>
    <t xml:space="preserve">Cell temperature sensor failure (NTC open/drift reads low) or insufficient sensor coverage</t>
  </si>
  <si>
    <t xml:space="preserve">Overtemperature not detected → no derating or trip</t>
  </si>
  <si>
    <t xml:space="preserve">Hot cell not seen by BMS
continued operation
TR</t>
  </si>
  <si>
    <t xml:space="preserve">Sensor plausibility (neighbour comparison); off-gas</t>
  </si>
  <si>
    <t xml:space="preserve">SF-10, SF-11</t>
  </si>
  <si>
    <t xml:space="preserve">TM-04</t>
  </si>
  <si>
    <t xml:space="preserve">Coolant leak onto energized battery parts</t>
  </si>
  <si>
    <t xml:space="preserve">Coolant (water-glycol) leak from hose/fitting/cold plate</t>
  </si>
  <si>
    <t xml:space="preserve">Conductive liquid on modules/busbars → tracking, short circuit, ground fault</t>
  </si>
  <si>
    <t xml:space="preserve">Leak
insulation loss / short
arc
fire or TR; also loss of cooling</t>
  </si>
  <si>
    <t xml:space="preserve">Arc
module fire
TR
ground fault
loss of cooling</t>
  </si>
  <si>
    <t xml:space="preserve">Personnel exposed to fire/arc → burns.
Technician touching wet, energized parts → electric shock.</t>
  </si>
  <si>
    <t xml:space="preserve">Fire
Arc flash
Electric shock</t>
  </si>
  <si>
    <t xml:space="preserve">Leak detection; coolant pressure/level drop; insulation resistance drop</t>
  </si>
  <si>
    <t xml:space="preserve">SF-13, SF-17</t>
  </si>
  <si>
    <t xml:space="preserve">ME-01</t>
  </si>
  <si>
    <t xml:space="preserve">Mechanical / External damage</t>
  </si>
  <si>
    <t xml:space="preserve">External / site</t>
  </si>
  <si>
    <t xml:space="preserve">Any</t>
  </si>
  <si>
    <t xml:space="preserve">Vehicle impact on BESS enclosure</t>
  </si>
  <si>
    <t xml:space="preserve">Vehicle or forklift impact on enclosure</t>
  </si>
  <si>
    <t xml:space="preserve">Enclosure and rack deformation → cell crush/penetration</t>
  </si>
  <si>
    <t xml:space="preserve">Cell crush
internal short (immediate or delayed)
TR</t>
  </si>
  <si>
    <t xml:space="preserve">Cell thermal runaway (TR) → propagation to adjacent cells/modules
flammable + toxic vent gas (H2, CO, HF, VOC) release
module/rack fire
possible deflagration in enclosure
fire spread to adjacent containers/PCS
possible crush injury</t>
  </si>
  <si>
    <t xml:space="preserve">Driver/personnel at impact point exposed to immediate fire.
Personnel near damaged unit later exposed to delayed TR fire/explosion/toxic gas.</t>
  </si>
  <si>
    <t xml:space="preserve">Drivers, O&amp;M technicians, firefighters</t>
  </si>
  <si>
    <t xml:space="preserve">Fire
Explosion
Toxic
Mechanical</t>
  </si>
  <si>
    <t xml:space="preserve">Impact / shock sensor; sudden cell V drop</t>
  </si>
  <si>
    <t xml:space="preserve">SF-14, SF-16</t>
  </si>
  <si>
    <t xml:space="preserve">ME-02</t>
  </si>
  <si>
    <t xml:space="preserve">Earthquake causes rack collapse</t>
  </si>
  <si>
    <t xml:space="preserve">Seismic event (earthquake) exceeding rack/anchor design</t>
  </si>
  <si>
    <t xml:space="preserve">Rack toppling / module drop, cable pull-out</t>
  </si>
  <si>
    <t xml:space="preserve">Module/cell damage + cable short
arc
fire / TR</t>
  </si>
  <si>
    <t xml:space="preserve">Rack collapse
short circuit
arc
fire
TR</t>
  </si>
  <si>
    <t xml:space="preserve">Person inside walk-in enclosure crushed by falling rack/modules.
Personnel exposed to fire/arc/toxic gas afterward.</t>
  </si>
  <si>
    <t xml:space="preserve">Mechanical</t>
  </si>
  <si>
    <t xml:space="preserve">Mechanical
Fire
Arc flash
Toxic</t>
  </si>
  <si>
    <t xml:space="preserve">Seismic sensor; multiple rack faults</t>
  </si>
  <si>
    <t xml:space="preserve">SF-14</t>
  </si>
  <si>
    <t xml:space="preserve">ME-03</t>
  </si>
  <si>
    <t xml:space="preserve">People &amp; lifecycle</t>
  </si>
  <si>
    <t xml:space="preserve">Installation / module replacement</t>
  </si>
  <si>
    <t xml:space="preserve">Module dropped during handling</t>
  </si>
  <si>
    <t xml:space="preserve">Lifting equipment or handling failure</t>
  </si>
  <si>
    <t xml:space="preserve">Heavy module drops</t>
  </si>
  <si>
    <t xml:space="preserve">Drop
crush injury; internal cell damage
delayed TR</t>
  </si>
  <si>
    <t xml:space="preserve">Crush injury
damaged cells
delayed TR</t>
  </si>
  <si>
    <t xml:space="preserve">Worker under/near load crushed.
Personnel later exposed to fire from damaged module.</t>
  </si>
  <si>
    <t xml:space="preserve">Installers, O&amp;M technicians</t>
  </si>
  <si>
    <t xml:space="preserve">Mechanical
Fire</t>
  </si>
  <si>
    <t xml:space="preserve">—</t>
  </si>
  <si>
    <t xml:space="preserve">EX-01</t>
  </si>
  <si>
    <t xml:space="preserve">External fire / Environment</t>
  </si>
  <si>
    <t xml:space="preserve">External fire exposure</t>
  </si>
  <si>
    <t xml:space="preserve">External fire (wildfire, vegetation, adjacent container, transformer fire)</t>
  </si>
  <si>
    <t xml:space="preserve">Radiant/convective heat into enclosure → cell heating</t>
  </si>
  <si>
    <t xml:space="preserve">External heat
cell T rise
TR
fire spread into and between units</t>
  </si>
  <si>
    <t xml:space="preserve">O&amp;M technicians, firefighters, public near site fence / downwind, neighbours</t>
  </si>
  <si>
    <t xml:space="preserve">Enclosure external/internal temperature; flame detection</t>
  </si>
  <si>
    <t xml:space="preserve">SF-16</t>
  </si>
  <si>
    <t xml:space="preserve">EX-02</t>
  </si>
  <si>
    <t xml:space="preserve">Storm / flooding</t>
  </si>
  <si>
    <t xml:space="preserve">Flooding of BESS enclosure</t>
  </si>
  <si>
    <t xml:space="preserve">Flood or storm-water ingress (drainage failure, low-lying site)</t>
  </si>
  <si>
    <t xml:space="preserve">Modules/busbars submerged; short circuit; electrolysis</t>
  </si>
  <si>
    <t xml:space="preserve">Water ingress
shorts
arc/fire; electrolysis
H2 generation (esp. saline water)
explosive atmosphere</t>
  </si>
  <si>
    <t xml:space="preserve">Short circuit
fire
H2 accumulation / explosion
energized water</t>
  </si>
  <si>
    <t xml:space="preserve">Person wading near flooded, energized equipment → electric shock.
Personnel exposed to fire/H2 explosion.</t>
  </si>
  <si>
    <t xml:space="preserve">O&amp;M technicians, firefighters, public</t>
  </si>
  <si>
    <t xml:space="preserve">Electric shock
Fire
Explosion</t>
  </si>
  <si>
    <t xml:space="preserve">Water level sensor; insulation resistance drop</t>
  </si>
  <si>
    <t xml:space="preserve">SF-12, SF-15, SF-17</t>
  </si>
  <si>
    <t xml:space="preserve">EX-03</t>
  </si>
  <si>
    <t xml:space="preserve">Thunderstorm</t>
  </si>
  <si>
    <t xml:space="preserve">Lightning / surge overvoltage</t>
  </si>
  <si>
    <t xml:space="preserve">Lightning strike or switching surge</t>
  </si>
  <si>
    <t xml:space="preserve">Overvoltage on DC/AC → insulation breakdown; ground potential rise</t>
  </si>
  <si>
    <t xml:space="preserve">Insulation breakdown
arc
fire; high step/touch voltage around earthing</t>
  </si>
  <si>
    <t xml:space="preserve">Equipment insulation failure
arc
fire
ground potential rise</t>
  </si>
  <si>
    <t xml:space="preserve">Person on site during strike exposed to step/touch voltage → shock.
Personnel exposed to resulting fire.</t>
  </si>
  <si>
    <t xml:space="preserve">O&amp;M technicians, public at fence</t>
  </si>
  <si>
    <t xml:space="preserve">Electric shock
Fire</t>
  </si>
  <si>
    <t xml:space="preserve">Surge counter; insulation monitoring</t>
  </si>
  <si>
    <t xml:space="preserve">EX-04</t>
  </si>
  <si>
    <t xml:space="preserve">Condensation inside enclosure</t>
  </si>
  <si>
    <t xml:space="preserve">Condensation / high humidity (dehumidification failure, cold surfaces)</t>
  </si>
  <si>
    <t xml:space="preserve">Moisture on PCBs/busbars → tracking, BMS malfunction</t>
  </si>
  <si>
    <t xml:space="preserve">Tracking
arc
fire; BMS measurement faults
loss of protection</t>
  </si>
  <si>
    <t xml:space="preserve">Arc
fire
BMS malfunction
ground fault</t>
  </si>
  <si>
    <t xml:space="preserve">Personnel exposed to fire/arc → burns; toxic smoke.</t>
  </si>
  <si>
    <t xml:space="preserve">Fire
Arc flash</t>
  </si>
  <si>
    <t xml:space="preserve">Humidity; dew point; insulation resistance</t>
  </si>
  <si>
    <t xml:space="preserve">SF-17</t>
  </si>
  <si>
    <t xml:space="preserve">EX-05</t>
  </si>
  <si>
    <t xml:space="preserve">Animal or debris ingress causes insulation damage</t>
  </si>
  <si>
    <t xml:space="preserve">Rodent / insect / dust ingress</t>
  </si>
  <si>
    <t xml:space="preserve">Insulation chewed or conductive bridging</t>
  </si>
  <si>
    <t xml:space="preserve">Insulation damage
short
arc
fire</t>
  </si>
  <si>
    <t xml:space="preserve">Arc
fire
ground fault</t>
  </si>
  <si>
    <t xml:space="preserve">Personnel exposed to fire/arc → burns.</t>
  </si>
  <si>
    <t xml:space="preserve">Insulation resistance; ground-fault alarm</t>
  </si>
  <si>
    <t xml:space="preserve">GX-01</t>
  </si>
  <si>
    <t xml:space="preserve">Gas release / Explosion / Toxic</t>
  </si>
  <si>
    <t xml:space="preserve">Any (often discovered during response)</t>
  </si>
  <si>
    <t xml:space="preserve">Cell venting into poorly ventilated enclosure</t>
  </si>
  <si>
    <t xml:space="preserve">Cell off-gassing without ignition (e.g. internal short) in a closed enclosure</t>
  </si>
  <si>
    <t xml:space="preserve">Flammable gas accumulates above LFL because exhaust ventilation is off/failed or not triggered</t>
  </si>
  <si>
    <t xml:space="preserve">Vent gas (H2, CO, hydrocarbons) accumulates
ignition source (arc, hot cell, door opened admitting air)
deflagration</t>
  </si>
  <si>
    <t xml:space="preserve">Explosive atmosphere
deflagration
enclosure rupture
follow-on fire</t>
  </si>
  <si>
    <t xml:space="preserve">Firefighter/technician opening the door or standing in front of the enclosure is hit by deflagration overpressure, fireball and flying door/panels (cf. McMicken 2019).</t>
  </si>
  <si>
    <t xml:space="preserve">Firefighters, O&amp;M technicians</t>
  </si>
  <si>
    <t xml:space="preserve">Explosion</t>
  </si>
  <si>
    <t xml:space="preserve">Explosion
Fire
Toxic</t>
  </si>
  <si>
    <t xml:space="preserve">Gas concentration (H2 / CO / VOC) % LFL</t>
  </si>
  <si>
    <t xml:space="preserve">SF-12</t>
  </si>
  <si>
    <t xml:space="preserve">GX-02</t>
  </si>
  <si>
    <t xml:space="preserve">Inspection / maintenance</t>
  </si>
  <si>
    <t xml:space="preserve">Electrolyte leak from damaged cell</t>
  </si>
  <si>
    <t xml:space="preserve">Cell casing breach (swollen/damaged cell, seal failure)</t>
  </si>
  <si>
    <t xml:space="preserve">Liquid electrolyte leaks; reacts with moisture forming HF; flammable vapour</t>
  </si>
  <si>
    <t xml:space="preserve">Leak
flammable/corrosive vapour in module
exposure on opening module; possible ignition</t>
  </si>
  <si>
    <t xml:space="preserve">Flammable vapour
HF formation
chemical contamination
possible fire</t>
  </si>
  <si>
    <t xml:space="preserve">Technician opening the module inhales HF / electrolyte vapour or gets skin/eye contact → chemical burns, poisoning.</t>
  </si>
  <si>
    <t xml:space="preserve">Toxic</t>
  </si>
  <si>
    <t xml:space="preserve">Toxic
Chemical burn
Fire</t>
  </si>
  <si>
    <t xml:space="preserve">Electrolyte vapour / VOC detection; visual swelling</t>
  </si>
  <si>
    <t xml:space="preserve">GX-03</t>
  </si>
  <si>
    <t xml:space="preserve">HVAC refrigerant leak into occupied enclosure</t>
  </si>
  <si>
    <t xml:space="preserve">Refrigerant leak inside enclosure (A1 high concentration, or flammable A2L/A3 refrigerant)</t>
  </si>
  <si>
    <t xml:space="preserve">Refrigerant displaces oxygen or forms flammable mixture</t>
  </si>
  <si>
    <t xml:space="preserve">Leak
O2 depletion or flammable atmosphere
asphyxiation / ignition</t>
  </si>
  <si>
    <t xml:space="preserve">Oxygen-deficient atmosphere
flammable mixture
fire</t>
  </si>
  <si>
    <t xml:space="preserve">Technician entering walk-in enclosure is asphyxiated or exposed to flash fire.</t>
  </si>
  <si>
    <t xml:space="preserve">Asphyxiation</t>
  </si>
  <si>
    <t xml:space="preserve">Asphyxiation
Fire</t>
  </si>
  <si>
    <t xml:space="preserve">Refrigerant / O2 detector</t>
  </si>
  <si>
    <t xml:space="preserve">SF-29</t>
  </si>
  <si>
    <t xml:space="preserve">SH-01</t>
  </si>
  <si>
    <t xml:space="preserve">Electric shock / Arc flash (DC)</t>
  </si>
  <si>
    <t xml:space="preserve">Undetected first DC ground fault</t>
  </si>
  <si>
    <t xml:space="preserve">DC insulation fault to earth (cable abrasion, moisture) not detected (IMD failed or alarm ignored)</t>
  </si>
  <si>
    <t xml:space="preserve">First fault makes one pole earth-referenced; second fault → short circuit</t>
  </si>
  <si>
    <t xml:space="preserve">Pole at earth potential
touching other pole = full DC voltage; second fault
high-current short
arc/fire</t>
  </si>
  <si>
    <t xml:space="preserve">Hidden touch-voltage hazard
double ground fault short
arc
fire</t>
  </si>
  <si>
    <t xml:space="preserve">Technician touching a 'safe' DC conductor while standing on earth receives up to 1500 VDC shock.
Personnel exposed to arc/fire from second fault.</t>
  </si>
  <si>
    <t xml:space="preserve">Electric shock
Arc flash
Fire</t>
  </si>
  <si>
    <t xml:space="preserve">Insulation resistance (IMD) value</t>
  </si>
  <si>
    <t xml:space="preserve">SH-02</t>
  </si>
  <si>
    <t xml:space="preserve">Maintenance</t>
  </si>
  <si>
    <t xml:space="preserve">Maintenance on rack that cannot be fully de-energized</t>
  </si>
  <si>
    <t xml:space="preserve">Stranded energy: series-connected modules are always energized even with contactors open</t>
  </si>
  <si>
    <t xml:space="preserve">Work on 'isolated' rack, contact across module links or tool drop across terminals</t>
  </si>
  <si>
    <t xml:space="preserve">Contact with live inter-module busbar
shock; tool bridging
short
arc</t>
  </si>
  <si>
    <t xml:space="preserve">Electric shock
DC arc flash
module damage</t>
  </si>
  <si>
    <t xml:space="preserve">Technician working on the rack contacts live inter-module conductors → electric shock / arc flash burns.</t>
  </si>
  <si>
    <t xml:space="preserve">SH-03</t>
  </si>
  <si>
    <t xml:space="preserve">Residual energy in PCS DC-link after isolation</t>
  </si>
  <si>
    <t xml:space="preserve">DC-link capacitor discharge resistor failed</t>
  </si>
  <si>
    <t xml:space="preserve">Capacitors remain charged after isolation</t>
  </si>
  <si>
    <t xml:space="preserve">Technician opens PCS assuming de-energized
contacts charged capacitor</t>
  </si>
  <si>
    <t xml:space="preserve">Stored-energy discharge
shock
arc</t>
  </si>
  <si>
    <t xml:space="preserve">Technician touches charged DC-link bus → electric shock / burns.</t>
  </si>
  <si>
    <t xml:space="preserve">DC-link voltage indication</t>
  </si>
  <si>
    <t xml:space="preserve">SF-19</t>
  </si>
  <si>
    <t xml:space="preserve">SH-04</t>
  </si>
  <si>
    <t xml:space="preserve">Maintenance / measurement</t>
  </si>
  <si>
    <t xml:space="preserve">Short circuit during live DC work</t>
  </si>
  <si>
    <t xml:space="preserve">Live work on DC equipment (measurement, fuse replacement)</t>
  </si>
  <si>
    <t xml:space="preserve">Probe slip / tool drop / wrong test equipment causes short</t>
  </si>
  <si>
    <t xml:space="preserve">Arc initiation
DC arc does not self-extinguish
arc flash</t>
  </si>
  <si>
    <t xml:space="preserve">DC arc flash
molten metal
blast</t>
  </si>
  <si>
    <t xml:space="preserve">Technician performing the work is exposed to arc flash → burns, eye injury.</t>
  </si>
  <si>
    <t xml:space="preserve">SH-05</t>
  </si>
  <si>
    <t xml:space="preserve">Loss of protective earth connection</t>
  </si>
  <si>
    <t xml:space="preserve">Loss of protective earth (corrosion, loose joint, copper theft) combined with insulation fault</t>
  </si>
  <si>
    <t xml:space="preserve">Enclosure / fence becomes energized</t>
  </si>
  <si>
    <t xml:space="preserve">Insulation fault energizes exposed conductive part with no fault path
no protection trip</t>
  </si>
  <si>
    <t xml:space="preserve">Energized enclosure / fence
touch voltage</t>
  </si>
  <si>
    <t xml:space="preserve">Worker or member of public touching the enclosure/fence receives electric shock.</t>
  </si>
  <si>
    <t xml:space="preserve">O&amp;M technicians, public</t>
  </si>
  <si>
    <t xml:space="preserve">Earth continuity monitoring; touch-voltage measurement</t>
  </si>
  <si>
    <t xml:space="preserve">SF-18</t>
  </si>
  <si>
    <t xml:space="preserve">SH-06</t>
  </si>
  <si>
    <t xml:space="preserve">Unauthorized entry into energized BESS area</t>
  </si>
  <si>
    <t xml:space="preserve">Unauthorized access (intruder, copper theft, vandalism)</t>
  </si>
  <si>
    <t xml:space="preserve">Contact with live parts or damage to equipment</t>
  </si>
  <si>
    <t xml:space="preserve">Contact with live conductors; cable cutting
short
arc/fire</t>
  </si>
  <si>
    <t xml:space="preserve">Electric shock
arc
fire</t>
  </si>
  <si>
    <t xml:space="preserve">Intruder contacts live parts → electrocution / burns; later fire endangers responders.</t>
  </si>
  <si>
    <t xml:space="preserve">Public / intruders, firefighters</t>
  </si>
  <si>
    <t xml:space="preserve">Door switch / intrusion alarm</t>
  </si>
  <si>
    <t xml:space="preserve">SF-33</t>
  </si>
  <si>
    <t xml:space="preserve">GR-01</t>
  </si>
  <si>
    <t xml:space="preserve">Grid interface / AC side</t>
  </si>
  <si>
    <t xml:space="preserve">Grid outage</t>
  </si>
  <si>
    <t xml:space="preserve">Anti-islanding failure during grid outage</t>
  </si>
  <si>
    <t xml:space="preserve">Grid outage / upstream breaker opens</t>
  </si>
  <si>
    <t xml:space="preserve">PCS fails to detect island (detection failure, wrong settings) and continues to energize the disconnected section</t>
  </si>
  <si>
    <t xml:space="preserve">BESS keeps islanded feeder energized
line assumed dead</t>
  </si>
  <si>
    <t xml:space="preserve">Unintentional island
energized 'dead' line
out-of-phase reclosing risk</t>
  </si>
  <si>
    <t xml:space="preserve">Utility line worker contacts line believed de-energized → electrocution.</t>
  </si>
  <si>
    <t xml:space="preserve">Utility line workers</t>
  </si>
  <si>
    <t xml:space="preserve">Loss of grid (V/f/ROCOF/vector shift)</t>
  </si>
  <si>
    <t xml:space="preserve">SF-20</t>
  </si>
  <si>
    <t xml:space="preserve">GR-02</t>
  </si>
  <si>
    <t xml:space="preserve">Maintenance on AC side</t>
  </si>
  <si>
    <t xml:space="preserve">Unintended PCS restart back-feeds equipment under maintenance</t>
  </si>
  <si>
    <t xml:space="preserve">PCS automatic restart logic re-enables output on grid return or after alarm reset</t>
  </si>
  <si>
    <t xml:space="preserve">PCS starts while downstream transformer / MV cable is under maintenance and back-feeds it</t>
  </si>
  <si>
    <t xml:space="preserve">PCS energizes transformer / MV cable
worker contact</t>
  </si>
  <si>
    <t xml:space="preserve">Energized equipment under work
arc</t>
  </si>
  <si>
    <t xml:space="preserve">Worker on transformer/MV cable is electrocuted or exposed to arc flash.</t>
  </si>
  <si>
    <t xml:space="preserve">O&amp;M technicians, contractors</t>
  </si>
  <si>
    <t xml:space="preserve">Breaker/isolator position; LOTO status</t>
  </si>
  <si>
    <t xml:space="preserve">SF-22</t>
  </si>
  <si>
    <t xml:space="preserve">GR-03</t>
  </si>
  <si>
    <t xml:space="preserve">Grid / AC equipment</t>
  </si>
  <si>
    <t xml:space="preserve">Operation / switching</t>
  </si>
  <si>
    <t xml:space="preserve">Internal arc fault in MV switchgear</t>
  </si>
  <si>
    <t xml:space="preserve">Internal insulation failure (partial discharge, contamination, rodent) or maloperation (closing onto earth)</t>
  </si>
  <si>
    <t xml:space="preserve">Internal arc in switchgear</t>
  </si>
  <si>
    <t xml:space="preserve">Arc
pressure rise, hot gas release, panel rupture</t>
  </si>
  <si>
    <t xml:space="preserve">Internal arc
pressure wave
hot gas
switchgear fire</t>
  </si>
  <si>
    <t xml:space="preserve">Operator standing in front of switchgear during switching is exposed to arc blast and hot gases → burns, blast injury.</t>
  </si>
  <si>
    <t xml:space="preserve">Operators</t>
  </si>
  <si>
    <t xml:space="preserve">Partial discharge; arc detection (light + current)</t>
  </si>
  <si>
    <t xml:space="preserve">SF-23</t>
  </si>
  <si>
    <t xml:space="preserve">GR-04</t>
  </si>
  <si>
    <t xml:space="preserve">Transformer internal fault</t>
  </si>
  <si>
    <t xml:space="preserve">Winding insulation failure (overload, harmonics from PCS, DC injection saturation, aging)</t>
  </si>
  <si>
    <t xml:space="preserve">Internal arc in oil → gas generation → tank pressure</t>
  </si>
  <si>
    <t xml:space="preserve">Arc in oil
tank rupture
oil spill fire
fire exposure to BESS</t>
  </si>
  <si>
    <t xml:space="preserve">Transformer explosion
oil pool fire
fire spread to BESS (→ EX-01)</t>
  </si>
  <si>
    <t xml:space="preserve">Personnel near transformer exposed to blast, burning oil and radiant heat.</t>
  </si>
  <si>
    <t xml:space="preserve">Fire
Explosion</t>
  </si>
  <si>
    <t xml:space="preserve">Buchholz / sudden pressure; winding &amp; oil temperature; DGA</t>
  </si>
  <si>
    <t xml:space="preserve">SF-24</t>
  </si>
  <si>
    <t xml:space="preserve">GR-05</t>
  </si>
  <si>
    <t xml:space="preserve">Grid fault</t>
  </si>
  <si>
    <t xml:space="preserve">AC fault not cleared by protection</t>
  </si>
  <si>
    <t xml:space="preserve">Short circuit on AC side with protection miscoordination or breaker failure to trip</t>
  </si>
  <si>
    <t xml:space="preserve">Sustained fault current through PCS output cables</t>
  </si>
  <si>
    <t xml:space="preserve">Sustained overcurrent
cable/busbar overheating
fire; arc</t>
  </si>
  <si>
    <t xml:space="preserve">Cable fire
arc
PCS damage</t>
  </si>
  <si>
    <t xml:space="preserve">Personnel near PCS/cable route exposed to fire and toxic smoke.</t>
  </si>
  <si>
    <t xml:space="preserve">Fault current; breaker status</t>
  </si>
  <si>
    <t xml:space="preserve">SF-25</t>
  </si>
  <si>
    <t xml:space="preserve">GR-06</t>
  </si>
  <si>
    <t xml:space="preserve">Reconnection / auto-reclose</t>
  </si>
  <si>
    <t xml:space="preserve">Out-of-phase connection to grid</t>
  </si>
  <si>
    <t xml:space="preserve">Synchronization / sync-check failure or utility auto-reclose onto energized island</t>
  </si>
  <si>
    <t xml:space="preserve">Out-of-phase closure → very high transient current</t>
  </si>
  <si>
    <t xml:space="preserve">Transient overcurrent
IGBT / capacitor rupture
PCS explosion / fire</t>
  </si>
  <si>
    <t xml:space="preserve">PCS component rupture
projectiles
PCS fire</t>
  </si>
  <si>
    <t xml:space="preserve">Person near PCS cabinet exposed to projectiles, blast and fire.</t>
  </si>
  <si>
    <t xml:space="preserve">Explosion
Fire</t>
  </si>
  <si>
    <t xml:space="preserve">Phase angle / voltage difference at breaker</t>
  </si>
  <si>
    <t xml:space="preserve">SF-20, SF-21</t>
  </si>
  <si>
    <t xml:space="preserve">GR-07</t>
  </si>
  <si>
    <t xml:space="preserve">PCS power-semiconductor failure</t>
  </si>
  <si>
    <t xml:space="preserve">IGBT failure (short) with desaturation protection failure</t>
  </si>
  <si>
    <t xml:space="preserve">Shoot-through discharges DC-link capacitors / battery into power stage</t>
  </si>
  <si>
    <t xml:space="preserve">Shoot-through
capacitor/IGBT rupture
arc
PCS cabinet fire</t>
  </si>
  <si>
    <t xml:space="preserve">PCS explosion
arc
cabinet fire</t>
  </si>
  <si>
    <t xml:space="preserve">Technician near PCS exposed to blast, arc and fire.</t>
  </si>
  <si>
    <t xml:space="preserve">Fire
Explosion
Arc flash</t>
  </si>
  <si>
    <t xml:space="preserve">Desat signal; DC-link current</t>
  </si>
  <si>
    <t xml:space="preserve">GR-08</t>
  </si>
  <si>
    <t xml:space="preserve">AC filter capacitor overstress</t>
  </si>
  <si>
    <t xml:space="preserve">Grid overvoltage or harmonic resonance</t>
  </si>
  <si>
    <t xml:space="preserve">Filter capacitors overheat</t>
  </si>
  <si>
    <t xml:space="preserve">Capacitor overheating
rupture
fire</t>
  </si>
  <si>
    <t xml:space="preserve">Capacitor rupture
PCS fire</t>
  </si>
  <si>
    <t xml:space="preserve">Personnel near PCS exposed to fire/smoke.</t>
  </si>
  <si>
    <t xml:space="preserve">Harmonic distortion; capacitor temperature/current</t>
  </si>
  <si>
    <t xml:space="preserve">SF-26</t>
  </si>
  <si>
    <t xml:space="preserve">CS-01</t>
  </si>
  <si>
    <t xml:space="preserve">Control / Software / Cyber</t>
  </si>
  <si>
    <t xml:space="preserve">Commissioning / after update</t>
  </si>
  <si>
    <t xml:space="preserve">Incorrect BMS protection settings (systematic fault)</t>
  </si>
  <si>
    <t xml:space="preserve">Wrong BMS protection parameters (firmware update error, wrong cell-chemistry profile, commissioning error)</t>
  </si>
  <si>
    <t xml:space="preserve">BMS OV / OT / OC limits set beyond cell safe limits → BMS never requests stop or opens contactor</t>
  </si>
  <si>
    <t xml:space="preserve">Operation beyond safe window with no trip
overcharge / overtemperature
TR</t>
  </si>
  <si>
    <t xml:space="preserve">Parameter checksum / configuration audit</t>
  </si>
  <si>
    <t xml:space="preserve">SF-01, SF-10, SF-34</t>
  </si>
  <si>
    <t xml:space="preserve">CS-02</t>
  </si>
  <si>
    <t xml:space="preserve">EMS / SCADA</t>
  </si>
  <si>
    <t xml:space="preserve">Cyber attack on BESS control systems</t>
  </si>
  <si>
    <t xml:space="preserve">Cyber intrusion into EMS/SCADA/BMS</t>
  </si>
  <si>
    <t xml:space="preserve">Malicious setpoints, disabled alarms/protections, falsified BMS data, HVAC shut off</t>
  </si>
  <si>
    <t xml:space="preserve">Forced overcharge / overcurrent / cooling loss while protections suppressed
TR</t>
  </si>
  <si>
    <t xml:space="preserve">Unauthorized config change; abnormal commands</t>
  </si>
  <si>
    <t xml:space="preserve">SF-01, SF-10</t>
  </si>
  <si>
    <t xml:space="preserve">CS-03</t>
  </si>
  <si>
    <t xml:space="preserve">BMS processor freeze with frozen data</t>
  </si>
  <si>
    <t xml:space="preserve">BMS processor hang / software freeze (watchdog failed)</t>
  </si>
  <si>
    <t xml:space="preserve">Last values kept being reported as 'normal'; control and protection functions in BMS stop</t>
  </si>
  <si>
    <t xml:space="preserve">PCS keeps operating on stale 'healthy' data
overcharge / overtemperature undetected
TR</t>
  </si>
  <si>
    <t xml:space="preserve">Heartbeat / data freshness counter</t>
  </si>
  <si>
    <t xml:space="preserve">SF-02, SF-03</t>
  </si>
  <si>
    <t xml:space="preserve">CS-04</t>
  </si>
  <si>
    <t xml:space="preserve">Incorrect PCS limit settings (systematic fault)</t>
  </si>
  <si>
    <t xml:space="preserve">Wrong PCS limit parameters (max DC charge voltage/current set too high, wrong battery profile loaded in PCS)</t>
  </si>
  <si>
    <t xml:space="preserve">PCS own limits no longer backstop the BMS; any BMS or EMS command error is passed straight to the battery</t>
  </si>
  <si>
    <t xml:space="preserve">Charge beyond battery rating is accepted by PCS
overcharge / overcurrent
TR</t>
  </si>
  <si>
    <t xml:space="preserve">PCS parameter vs approved baseline; DC V/I above battery rating</t>
  </si>
  <si>
    <t xml:space="preserve">SF-01, SF-06, SF-34</t>
  </si>
  <si>
    <t xml:space="preserve">AU-01</t>
  </si>
  <si>
    <t xml:space="preserve">Auxiliary / Suppression systems</t>
  </si>
  <si>
    <t xml:space="preserve">Auxiliary &amp; safety systems</t>
  </si>
  <si>
    <t xml:space="preserve">Grid outage / aux fault</t>
  </si>
  <si>
    <t xml:space="preserve">Loss of auxiliary power to safety-supporting systems</t>
  </si>
  <si>
    <t xml:space="preserve">Loss of auxiliary power (aux transformer fault, grid loss with failed UPS)</t>
  </si>
  <si>
    <t xml:space="preserve">BMS, HVAC, gas detection, ventilation and fire detection lose power</t>
  </si>
  <si>
    <t xml:space="preserve">No cooling/monitoring
developing TR (any cause) undetected; gas accumulates; long outage may deep-discharge cells (
OD-01)</t>
  </si>
  <si>
    <t xml:space="preserve">Cell thermal runaway (TR) → propagation to adjacent cells/modules
flammable + toxic vent gas (H2, CO, HF, VOC) release
module/rack fire
possible deflagration in enclosure
fire spread to adjacent containers/PCS
loss of detection and mitigation</t>
  </si>
  <si>
    <t xml:space="preserve">Aux voltage; UPS status</t>
  </si>
  <si>
    <t xml:space="preserve">SF-04, SF-12, SF-27</t>
  </si>
  <si>
    <t xml:space="preserve">AU-02</t>
  </si>
  <si>
    <t xml:space="preserve">Maintenance (person inside)</t>
  </si>
  <si>
    <t xml:space="preserve">Inadvertent suppression discharge with personnel inside</t>
  </si>
  <si>
    <t xml:space="preserve">Spurious or manual release of suppression agent (detector false trip, wrong release, no lock-off)</t>
  </si>
  <si>
    <t xml:space="preserve">Agent discharge into occupied walk-in enclosure</t>
  </si>
  <si>
    <t xml:space="preserve">O2 depletion / agent toxicity / decomposition products; discharge noise and pressure</t>
  </si>
  <si>
    <t xml:space="preserve">Oxygen-deficient / toxic atmosphere</t>
  </si>
  <si>
    <t xml:space="preserve">Technician inside the enclosure is asphyxiated or poisoned.</t>
  </si>
  <si>
    <t xml:space="preserve">Asphyxiation
Toxic</t>
  </si>
  <si>
    <t xml:space="preserve">Door status; occupancy; release circuit status</t>
  </si>
  <si>
    <t xml:space="preserve">SF-28</t>
  </si>
  <si>
    <t xml:space="preserve">AU-03</t>
  </si>
  <si>
    <t xml:space="preserve">Hydrogen generation from UPS batteries</t>
  </si>
  <si>
    <t xml:space="preserve">UPS charger overvoltage / battery thermal runaway (lead-acid)</t>
  </si>
  <si>
    <t xml:space="preserve">Excess H2 evolution in room with failed ventilation</t>
  </si>
  <si>
    <t xml:space="preserve">H2 accumulates
ignition
explosion</t>
  </si>
  <si>
    <t xml:space="preserve">H2 explosion
fire in control room</t>
  </si>
  <si>
    <t xml:space="preserve">Person in control/aux room exposed to explosion and fire.</t>
  </si>
  <si>
    <t xml:space="preserve">Operators, O&amp;M technicians</t>
  </si>
  <si>
    <t xml:space="preserve">H2 concentration; float voltage</t>
  </si>
  <si>
    <t xml:space="preserve">SF-12, SF-30</t>
  </si>
  <si>
    <t xml:space="preserve">LC-01</t>
  </si>
  <si>
    <t xml:space="preserve">Lifecycle (transport → decommissioning)</t>
  </si>
  <si>
    <t xml:space="preserve">Transport / storage</t>
  </si>
  <si>
    <t xml:space="preserve">Transport/storage damage to modules</t>
  </si>
  <si>
    <t xml:space="preserve">Module abused in transport/storage (drop, vibration, heat exposure)</t>
  </si>
  <si>
    <t xml:space="preserve">Latent internal damage</t>
  </si>
  <si>
    <t xml:space="preserve">Hidden damage
internal short
TR in warehouse, on truck, or after installation</t>
  </si>
  <si>
    <t xml:space="preserve">Warehouse/transport/installation personnel exposed to fire, explosion, toxic gas.</t>
  </si>
  <si>
    <t xml:space="preserve">Logistics workers, installers</t>
  </si>
  <si>
    <t xml:space="preserve">Shock logger; incoming inspection (OCV, IR)</t>
  </si>
  <si>
    <t xml:space="preserve">LC-02</t>
  </si>
  <si>
    <t xml:space="preserve">Commissioning</t>
  </si>
  <si>
    <t xml:space="preserve">Wiring error at first energization</t>
  </si>
  <si>
    <t xml:space="preserve">Wiring error (reverse polarity, wrong series/parallel connection)</t>
  </si>
  <si>
    <t xml:space="preserve">Short circuit or reverse current at first energization</t>
  </si>
  <si>
    <t xml:space="preserve">Short/reverse current
arc
fire / equipment damage</t>
  </si>
  <si>
    <t xml:space="preserve">Arc flash
fire
component damage</t>
  </si>
  <si>
    <t xml:space="preserve">Commissioning engineer exposed to arc flash / fire.</t>
  </si>
  <si>
    <t xml:space="preserve">Commissioning engineers</t>
  </si>
  <si>
    <t xml:space="preserve">Polarity / voltage check before closing</t>
  </si>
  <si>
    <t xml:space="preserve">SF-32</t>
  </si>
  <si>
    <t xml:space="preserve">LC-03</t>
  </si>
  <si>
    <t xml:space="preserve">Maintenance (module/rack replacement)</t>
  </si>
  <si>
    <t xml:space="preserve">Voltage mismatch on paralleling strings</t>
  </si>
  <si>
    <t xml:space="preserve">New module/rack at different SOC/voltage connected in parallel</t>
  </si>
  <si>
    <t xml:space="preserve">High circulating current between strings</t>
  </si>
  <si>
    <t xml:space="preserve">Circulating current
overcurrent
arc at contactor / cell overheating</t>
  </si>
  <si>
    <t xml:space="preserve">Arc
contactor damage
cell overheating / TR</t>
  </si>
  <si>
    <t xml:space="preserve">Technician connecting the string exposed to arc flash; later fire.</t>
  </si>
  <si>
    <t xml:space="preserve">String voltage difference before closing</t>
  </si>
  <si>
    <t xml:space="preserve">SF-31</t>
  </si>
  <si>
    <t xml:space="preserve">LC-04</t>
  </si>
  <si>
    <t xml:space="preserve">Decommissioning / recycling</t>
  </si>
  <si>
    <t xml:space="preserve">Short circuit during decommissioning</t>
  </si>
  <si>
    <t xml:space="preserve">Handling modules with unknown SOC or damage</t>
  </si>
  <si>
    <t xml:space="preserve">Short circuit during dismantling / cutting</t>
  </si>
  <si>
    <t xml:space="preserve">Short
arc
TR of retired module</t>
  </si>
  <si>
    <t xml:space="preserve">Arc
fire
TR
toxic gas</t>
  </si>
  <si>
    <t xml:space="preserve">Dismantling worker exposed to arc, fire and toxic gas.</t>
  </si>
  <si>
    <t xml:space="preserve">Decommissioning workers</t>
  </si>
  <si>
    <t xml:space="preserve">SOC / voltage before dismantling</t>
  </si>
  <si>
    <t xml:space="preserve">ER-01</t>
  </si>
  <si>
    <t xml:space="preserve">Emergency response / Post-fire</t>
  </si>
  <si>
    <t xml:space="preserve">Post-incident</t>
  </si>
  <si>
    <t xml:space="preserve">Re-ignition of fire-damaged battery</t>
  </si>
  <si>
    <t xml:space="preserve">Stranded energy in damaged cells after fire is extinguished</t>
  </si>
  <si>
    <t xml:space="preserve">Damaged cells re-enter TR hours/days later</t>
  </si>
  <si>
    <t xml:space="preserve">Re-ignition during overhaul / removal
fire, gas release</t>
  </si>
  <si>
    <t xml:space="preserve">Re-ignition fire
toxic gas
shock from damaged live parts</t>
  </si>
  <si>
    <t xml:space="preserve">Firefighters/recovery crew handling debris exposed to re-ignition fire, toxic gas and electric shock.</t>
  </si>
  <si>
    <t xml:space="preserve">Firefighters, recovery crew</t>
  </si>
  <si>
    <t xml:space="preserve">Fire
Toxic
Electric shock</t>
  </si>
  <si>
    <t xml:space="preserve">Thermal imaging; gas monitoring</t>
  </si>
  <si>
    <t xml:space="preserve">ER-02</t>
  </si>
  <si>
    <t xml:space="preserve">Firefighting</t>
  </si>
  <si>
    <t xml:space="preserve">Firefighting water on energized BESS</t>
  </si>
  <si>
    <t xml:space="preserve">Water application on equipment that is still energized</t>
  </si>
  <si>
    <t xml:space="preserve">Conduction through hose stream / pooled water</t>
  </si>
  <si>
    <t xml:space="preserve">Current path through water to firefighter; possible electrolysis/H2</t>
  </si>
  <si>
    <t xml:space="preserve">Electric shock
H2 generation</t>
  </si>
  <si>
    <t xml:space="preserve">Firefighter applying water is electrocuted.</t>
  </si>
  <si>
    <t xml:space="preserve">Firefighters</t>
  </si>
  <si>
    <t xml:space="preserve">Electric shock
Explosion</t>
  </si>
  <si>
    <t xml:space="preserve">Isolation status indication for responders</t>
  </si>
  <si>
    <t xml:space="preserve">SF ID</t>
  </si>
  <si>
    <t xml:space="preserve">Safety function</t>
  </si>
  <si>
    <t xml:space="preserve">Type</t>
  </si>
  <si>
    <t xml:space="preserve">Sensor (S)</t>
  </si>
  <si>
    <t xml:space="preserve">Measured variable</t>
  </si>
  <si>
    <t xml:space="preserve">Logic solver (L)</t>
  </si>
  <si>
    <t xml:space="preserve">Final element (A)</t>
  </si>
  <si>
    <t xml:space="preserve">Final element tags
(; separated)</t>
  </si>
  <si>
    <t xml:space="preserve">Safe state</t>
  </si>
  <si>
    <t xml:space="preserve">Demand mode</t>
  </si>
  <si>
    <t xml:space="preserve">Must not share (independence)</t>
  </si>
  <si>
    <t xml:space="preserve">Reference</t>
  </si>
  <si>
    <t xml:space="preserve">Check: scenarios citing this SF</t>
  </si>
  <si>
    <t xml:space="preserve">SF-01</t>
  </si>
  <si>
    <t xml:space="preserve">Cell overvoltage trip</t>
  </si>
  <si>
    <t xml:space="preserve">SIF candidate</t>
  </si>
  <si>
    <t xml:space="preserve">Independent cell-voltage monitor (secondary AFE / hardware OV comparator per cell)</t>
  </si>
  <si>
    <t xml:space="preserve">Cell voltage (each cell)</t>
  </si>
  <si>
    <t xml:space="preserve">Independent protection board or safety PLC / safety relay (not the main BMS CPU)</t>
  </si>
  <si>
    <t xml:space="preserve">Rack DC contactor (de-energize to open) + PCS DC breaker shunt trip</t>
  </si>
  <si>
    <t xml:space="preserve">DC contactor; DC breaker</t>
  </si>
  <si>
    <t xml:space="preserve">Charging stopped, battery isolated from PCS</t>
  </si>
  <si>
    <t xml:space="preserve">Low demand → PFDavg</t>
  </si>
  <si>
    <t xml:space="preserve">Must NOT share voltage sensor, CPU, software or power with BMS charge control (see independence section of attachment). Hard-coded threshold, not configurable via EMS.</t>
  </si>
  <si>
    <t xml:space="preserve">IEC 61508 / 61511, IEC 62619, IEC 62933-5-2</t>
  </si>
  <si>
    <t xml:space="preserve">SF-02</t>
  </si>
  <si>
    <t xml:space="preserve">Communication-loss / watchdog → PCS to zero power</t>
  </si>
  <si>
    <t xml:space="preserve">Control-level protection (usually not credited as IPL)</t>
  </si>
  <si>
    <t xml:space="preserve">Heartbeat / data-freshness counter on BMS–PCS link</t>
  </si>
  <si>
    <t xml:space="preserve">Message age, counter increment</t>
  </si>
  <si>
    <t xml:space="preserve">PCS controller watchdog function</t>
  </si>
  <si>
    <t xml:space="preserve">PCS gate-blocking (power stage off) / PCS AC contactor</t>
  </si>
  <si>
    <t xml:space="preserve">PCS power stage / AC contactor</t>
  </si>
  <si>
    <t xml:space="preserve">PCS output = 0 kW</t>
  </si>
  <si>
    <t xml:space="preserve">Low demand</t>
  </si>
  <si>
    <t xml:space="preserve">Resides in the same PCS controller that may cause OV-01 → cannot be IPL for OV-01; OK as IPL for OV-02 only if PCS is independent of the failed link.</t>
  </si>
  <si>
    <t xml:space="preserve">IEC 62933-5-2</t>
  </si>
  <si>
    <t xml:space="preserve">SF-03</t>
  </si>
  <si>
    <t xml:space="preserve">External BMS watchdog → safe state</t>
  </si>
  <si>
    <t xml:space="preserve">SIF candidate / fail-safe design</t>
  </si>
  <si>
    <t xml:space="preserve">Watchdog pulse from BMS processor</t>
  </si>
  <si>
    <t xml:space="preserve">Pulse present / missing</t>
  </si>
  <si>
    <t xml:space="preserve">External hardware watchdog IC / timer relay</t>
  </si>
  <si>
    <t xml:space="preserve">Rack DC contactor coil drop-out</t>
  </si>
  <si>
    <t xml:space="preserve">DC contactor</t>
  </si>
  <si>
    <t xml:space="preserve">Contactors open</t>
  </si>
  <si>
    <t xml:space="preserve">Watchdog must be external to the monitored processor and have its own power.</t>
  </si>
  <si>
    <t xml:space="preserve">IEC 61508-2/-3</t>
  </si>
  <si>
    <t xml:space="preserve">Cell undervoltage trip + charge-inhibit lockout</t>
  </si>
  <si>
    <t xml:space="preserve">Cell-voltage monitor</t>
  </si>
  <si>
    <t xml:space="preserve">Cell voltage (min)</t>
  </si>
  <si>
    <t xml:space="preserve">BMS or independent protection board</t>
  </si>
  <si>
    <t xml:space="preserve">Rack DC contactor + latched 'charge inhibit' flag to PCS</t>
  </si>
  <si>
    <t xml:space="preserve">DC contactor; Start/close/charge inhibit</t>
  </si>
  <si>
    <t xml:space="preserve">Discharge stopped; recharge blocked until inspection</t>
  </si>
  <si>
    <t xml:space="preserve">Lockout must survive power cycling (non-volatile). Independent of SOC algorithm.</t>
  </si>
  <si>
    <t xml:space="preserve">IEC 62619</t>
  </si>
  <si>
    <t xml:space="preserve">Low-temperature charge inhibit</t>
  </si>
  <si>
    <t xml:space="preserve">Cell temperature sensors (NTC)</t>
  </si>
  <si>
    <t xml:space="preserve">Cell temperature</t>
  </si>
  <si>
    <t xml:space="preserve">BMS / protection board</t>
  </si>
  <si>
    <t xml:space="preserve">PCS charge-current limit = 0 and/or DC contactor</t>
  </si>
  <si>
    <t xml:space="preserve">PCS power stage / AC contactor; DC contactor</t>
  </si>
  <si>
    <t xml:space="preserve">No charging below T_min</t>
  </si>
  <si>
    <t xml:space="preserve">Should not rely on the same NTC used for heater control.</t>
  </si>
  <si>
    <t xml:space="preserve">Overcurrent trip (DC)</t>
  </si>
  <si>
    <t xml:space="preserve">SIF candidate / self-acting protection</t>
  </si>
  <si>
    <t xml:space="preserve">Rack current sensor (shunt / Hall) independent of PCS current sensor – or fuse element (sensor+logic+actuator in one)</t>
  </si>
  <si>
    <t xml:space="preserve">DC current</t>
  </si>
  <si>
    <t xml:space="preserve">Independent protection board / DC breaker trip unit (fuse = no logic solver)</t>
  </si>
  <si>
    <t xml:space="preserve">DC breaker / rack fuse / contactor</t>
  </si>
  <si>
    <t xml:space="preserve">DC breaker; Fuse; DC contactor</t>
  </si>
  <si>
    <t xml:space="preserve">Current interrupted</t>
  </si>
  <si>
    <t xml:space="preserve">Low demand (check – if trips often, fix design)</t>
  </si>
  <si>
    <t xml:space="preserve">Do not use PCS current sensor (shared with IE OC-01). Contactors must be rated to break fault current, otherwise fuse/breaker must do it.</t>
  </si>
  <si>
    <t xml:space="preserve">IEC 60947-2, IEC 60269</t>
  </si>
  <si>
    <t xml:space="preserve">SF-07</t>
  </si>
  <si>
    <t xml:space="preserve">DC arc-fault detection and interruption</t>
  </si>
  <si>
    <t xml:space="preserve">Arc-fault detector (HF current signature)</t>
  </si>
  <si>
    <t xml:space="preserve">Arc signature on DC conductors</t>
  </si>
  <si>
    <t xml:space="preserve">AFD relay</t>
  </si>
  <si>
    <t xml:space="preserve">DC breaker shunt trip</t>
  </si>
  <si>
    <t xml:space="preserve">DC breaker</t>
  </si>
  <si>
    <t xml:space="preserve">Arc extinguished, circuit open</t>
  </si>
  <si>
    <t xml:space="preserve">Nuisance-trip vs detection trade-off; test regularly.</t>
  </si>
  <si>
    <t xml:space="preserve">UL 1699B (PV analogue), IEC 63027</t>
  </si>
  <si>
    <t xml:space="preserve">SF-08</t>
  </si>
  <si>
    <t xml:space="preserve">Contactor weld detection</t>
  </si>
  <si>
    <t xml:space="preserve">Diagnostic + trip</t>
  </si>
  <si>
    <t xml:space="preserve">Contactor auxiliary contact + voltage across main contacts</t>
  </si>
  <si>
    <t xml:space="preserve">Commanded vs actual contact state</t>
  </si>
  <si>
    <t xml:space="preserve">Upstream DC breaker shunt trip + 'not isolated' indication</t>
  </si>
  <si>
    <t xml:space="preserve">DC breaker; Indication / alarm</t>
  </si>
  <si>
    <t xml:space="preserve">Circuit isolated by second device; HMI shows 'still energized'</t>
  </si>
  <si>
    <t xml:space="preserve">Upstream breaker must be a different device type (diversity) from the welded contactor.</t>
  </si>
  <si>
    <t xml:space="preserve">IEC 60947-4-1</t>
  </si>
  <si>
    <t xml:space="preserve">SF-09</t>
  </si>
  <si>
    <t xml:space="preserve">Hot-joint / connection monitoring</t>
  </si>
  <si>
    <t xml:space="preserve">Detection → derate/trip</t>
  </si>
  <si>
    <t xml:space="preserve">Busbar/terminal temperature sensors or ΔV across joints</t>
  </si>
  <si>
    <t xml:space="preserve">Joint temperature / voltage drop</t>
  </si>
  <si>
    <t xml:space="preserve">PCS derate command → DC contactor if high-high</t>
  </si>
  <si>
    <t xml:space="preserve">Reduced current or isolation</t>
  </si>
  <si>
    <t xml:space="preserve">Derate part is normal control; only high-high trip is a safety function.</t>
  </si>
  <si>
    <t xml:space="preserve">Cell overtemperature trip</t>
  </si>
  <si>
    <t xml:space="preserve">Redundant / diverse cell temperature sensors (NTC + independent thermal sensor)</t>
  </si>
  <si>
    <t xml:space="preserve">Cell / module temperature</t>
  </si>
  <si>
    <t xml:space="preserve">Independent protection board or safety PLC</t>
  </si>
  <si>
    <t xml:space="preserve">PCS stop + rack DC contactor open</t>
  </si>
  <si>
    <t xml:space="preserve">No current; heat generation stopped</t>
  </si>
  <si>
    <t xml:space="preserve">Sensor independent from HVAC control sensor and from BMS derating loop.</t>
  </si>
  <si>
    <t xml:space="preserve">IEC 62619, IEC 62933-5-2</t>
  </si>
  <si>
    <t xml:space="preserve">Off-gas detection → isolate</t>
  </si>
  <si>
    <t xml:space="preserve">SIF candidate (early warning)</t>
  </si>
  <si>
    <t xml:space="preserve">H2 / CO / VOC (electrolyte vapour) detectors in module or enclosure</t>
  </si>
  <si>
    <t xml:space="preserve">Gas concentration</t>
  </si>
  <si>
    <t xml:space="preserve">Gas-detection controller or safety PLC</t>
  </si>
  <si>
    <t xml:space="preserve">Rack DC contactors + PCS trip + alarm</t>
  </si>
  <si>
    <t xml:space="preserve">DC contactor; PCS power stage / AC contactor; Indication / alarm</t>
  </si>
  <si>
    <t xml:space="preserve">Battery isolated before TR develops</t>
  </si>
  <si>
    <t xml:space="preserve">Detects TR regardless of cause → good diverse layer. Controller on UPS.</t>
  </si>
  <si>
    <t xml:space="preserve">UL 9540A, NFPA 855</t>
  </si>
  <si>
    <t xml:space="preserve">Explosion-prevention exhaust ventilation</t>
  </si>
  <si>
    <t xml:space="preserve">SIF candidate (mitigation)</t>
  </si>
  <si>
    <t xml:space="preserve">Flammable gas detectors (H2 / %LFL)</t>
  </si>
  <si>
    <t xml:space="preserve">Gas concentration (%LFL)</t>
  </si>
  <si>
    <t xml:space="preserve">Gas panel / safety PLC (UPS-backed)</t>
  </si>
  <si>
    <t xml:space="preserve">Exhaust fan(s) + inlet louvres/dampers open</t>
  </si>
  <si>
    <t xml:space="preserve">Ventilation fan / damper</t>
  </si>
  <si>
    <t xml:space="preserve">Gas kept below 25 % LFL</t>
  </si>
  <si>
    <t xml:space="preserve">Fans, detectors and controller must stay powered when main aux fails (AU-01). Fan failure alarm.</t>
  </si>
  <si>
    <t xml:space="preserve">NFPA 69, NFPA 855</t>
  </si>
  <si>
    <t xml:space="preserve">SF-13</t>
  </si>
  <si>
    <t xml:space="preserve">Coolant leak detection → stop &amp; isolate</t>
  </si>
  <si>
    <t xml:space="preserve">Leak-detection cable / coolant pressure or level switch</t>
  </si>
  <si>
    <t xml:space="preserve">Liquid presence / pressure drop</t>
  </si>
  <si>
    <t xml:space="preserve">TMS controller or BMS</t>
  </si>
  <si>
    <t xml:space="preserve">Coolant pump stop + rack DC contactor</t>
  </si>
  <si>
    <t xml:space="preserve">Pump; DC contactor</t>
  </si>
  <si>
    <t xml:space="preserve">No flow onto live parts; battery isolated</t>
  </si>
  <si>
    <t xml:space="preserve">Pump stop removes cooling → combine with SF-10 logic.</t>
  </si>
  <si>
    <t xml:space="preserve">Seismic / impact trip</t>
  </si>
  <si>
    <t xml:space="preserve">Seismic switch / accelerometer / impact sensor</t>
  </si>
  <si>
    <t xml:space="preserve">Ground acceleration / shock</t>
  </si>
  <si>
    <t xml:space="preserve">Safety relay</t>
  </si>
  <si>
    <t xml:space="preserve">All DC contactors + PCS AC breaker</t>
  </si>
  <si>
    <t xml:space="preserve">DC contactor; AC breaker</t>
  </si>
  <si>
    <t xml:space="preserve">Site de-energized</t>
  </si>
  <si>
    <t xml:space="preserve">Final elements shared with SF-01/SF-10 → common-cause watch.</t>
  </si>
  <si>
    <t xml:space="preserve">SF-15</t>
  </si>
  <si>
    <t xml:space="preserve">Flood detection trip</t>
  </si>
  <si>
    <t xml:space="preserve">Water level switch in enclosure base / cable trench</t>
  </si>
  <si>
    <t xml:space="preserve">Water level</t>
  </si>
  <si>
    <t xml:space="preserve">DC contactors + PCS AC breaker + interface breaker</t>
  </si>
  <si>
    <t xml:space="preserve">DC contactor; AC breaker; Interface (POI) breaker</t>
  </si>
  <si>
    <t xml:space="preserve">Site de-energized before water reaches live parts</t>
  </si>
  <si>
    <t xml:space="preserve">Sensor below lowest live part; relay mounted above flood level.</t>
  </si>
  <si>
    <t xml:space="preserve">Fire detection → isolation (and suppression)</t>
  </si>
  <si>
    <t xml:space="preserve">SIF candidate / fire system</t>
  </si>
  <si>
    <t xml:space="preserve">Smoke / heat / flame detectors</t>
  </si>
  <si>
    <t xml:space="preserve">Smoke, temperature, flame</t>
  </si>
  <si>
    <t xml:space="preserve">Fire alarm control panel (FACP)</t>
  </si>
  <si>
    <t xml:space="preserve">DC contactors + PCS trip + suppression release + alarm</t>
  </si>
  <si>
    <t xml:space="preserve">DC contactor; PCS power stage / AC contactor; Suppression release; Indication / alarm</t>
  </si>
  <si>
    <t xml:space="preserve">Battery isolated, fire controlled</t>
  </si>
  <si>
    <t xml:space="preserve">FACP is separate standard (EN 54 / NFPA 72); interface to BMS trip must be hardwired.</t>
  </si>
  <si>
    <t xml:space="preserve">NFPA 72, NFPA 855, EN 54</t>
  </si>
  <si>
    <t xml:space="preserve">Insulation monitoring (IMD)</t>
  </si>
  <si>
    <t xml:space="preserve">Detection → alarm/trip</t>
  </si>
  <si>
    <t xml:space="preserve">Insulation monitoring device</t>
  </si>
  <si>
    <t xml:space="preserve">Insulation resistance DC+/DC– to earth</t>
  </si>
  <si>
    <t xml:space="preserve">IMD relay (built-in logic)</t>
  </si>
  <si>
    <t xml:space="preserve">Alarm → PCS DC breaker trip on low-low</t>
  </si>
  <si>
    <t xml:space="preserve">No hidden earth fault</t>
  </si>
  <si>
    <t xml:space="preserve">One IMD per galvanically connected DC system; parallel IMDs interfere.</t>
  </si>
  <si>
    <t xml:space="preserve">IEC 61557-8</t>
  </si>
  <si>
    <t xml:space="preserve">Earth continuity / touch-voltage monitoring</t>
  </si>
  <si>
    <t xml:space="preserve">Earth continuity monitor / RCM</t>
  </si>
  <si>
    <t xml:space="preserve">PE loop resistance / residual current</t>
  </si>
  <si>
    <t xml:space="preserve">Monitoring relay</t>
  </si>
  <si>
    <t xml:space="preserve">Alarm / supply breaker trip</t>
  </si>
  <si>
    <t xml:space="preserve">AC breaker; Indication / alarm</t>
  </si>
  <si>
    <t xml:space="preserve">Exposed parts not energized</t>
  </si>
  <si>
    <t xml:space="preserve">IEC 61557-8/-11</t>
  </si>
  <si>
    <t xml:space="preserve">Voltage-present door interlock</t>
  </si>
  <si>
    <t xml:space="preserve">Interlock</t>
  </si>
  <si>
    <t xml:space="preserve">DC-link / bus voltage detector</t>
  </si>
  <si>
    <t xml:space="preserve">Residual voltage</t>
  </si>
  <si>
    <t xml:space="preserve">Interlock relay</t>
  </si>
  <si>
    <t xml:space="preserve">Door lock solenoid (locked while V &gt; safe limit)</t>
  </si>
  <si>
    <t xml:space="preserve">Door lock</t>
  </si>
  <si>
    <t xml:space="preserve">Door cannot be opened while energized</t>
  </si>
  <si>
    <t xml:space="preserve">Fail-safe: loss of power = door locked (with emergency override).</t>
  </si>
  <si>
    <t xml:space="preserve">ISO 14119 (concept)</t>
  </si>
  <si>
    <t xml:space="preserve">Anti-islanding / loss-of-mains trip</t>
  </si>
  <si>
    <t xml:space="preserve">SIF candidate / protection relay</t>
  </si>
  <si>
    <t xml:space="preserve">VTs / CTs at point of interconnection</t>
  </si>
  <si>
    <t xml:space="preserve">Voltage, frequency, ROCOF, vector shift</t>
  </si>
  <si>
    <t xml:space="preserve">Independent interface protection relay (not PCS internal)</t>
  </si>
  <si>
    <t xml:space="preserve">Interface / POI circuit breaker (+ PCS stop)</t>
  </si>
  <si>
    <t xml:space="preserve">Interface (POI) breaker; PCS power stage / AC contactor</t>
  </si>
  <si>
    <t xml:space="preserve">BESS disconnected from de-energized grid</t>
  </si>
  <si>
    <t xml:space="preserve">PCS internal anti-islanding shares PCS controller → only one layer. External relay = independent layer.</t>
  </si>
  <si>
    <t xml:space="preserve">IEEE 1547, IEC 62116, local grid code</t>
  </si>
  <si>
    <t xml:space="preserve">SF-21</t>
  </si>
  <si>
    <t xml:space="preserve">Synchronism-check interlock (ANSI 25)</t>
  </si>
  <si>
    <t xml:space="preserve">Interlock / protection</t>
  </si>
  <si>
    <t xml:space="preserve">VTs on both sides of breaker</t>
  </si>
  <si>
    <t xml:space="preserve">ΔV, Δf, Δphase</t>
  </si>
  <si>
    <t xml:space="preserve">Sync-check relay</t>
  </si>
  <si>
    <t xml:space="preserve">Breaker close-permissive (block closing)</t>
  </si>
  <si>
    <t xml:space="preserve">Start/close/charge inhibit</t>
  </si>
  <si>
    <t xml:space="preserve">Breaker stays open if out of phase</t>
  </si>
  <si>
    <t xml:space="preserve">IEEE C37.2 (25)</t>
  </si>
  <si>
    <t xml:space="preserve">Maintenance start-inhibit interlock</t>
  </si>
  <si>
    <t xml:space="preserve">Isolator / earth-switch position contacts, trapped-key / LOTO switch</t>
  </si>
  <si>
    <t xml:space="preserve">Isolation status</t>
  </si>
  <si>
    <t xml:space="preserve">Hardwired interlock relay</t>
  </si>
  <si>
    <t xml:space="preserve">PCS enable signal removed + breaker close blocked</t>
  </si>
  <si>
    <t xml:space="preserve">PCS cannot start / back-feed</t>
  </si>
  <si>
    <t xml:space="preserve">Hardwired, not via EMS software (auto-restart logic is the IE).</t>
  </si>
  <si>
    <t xml:space="preserve">MV switchgear arc-flash protection</t>
  </si>
  <si>
    <t xml:space="preserve">Protection relay</t>
  </si>
  <si>
    <t xml:space="preserve">Light (arc) sensors + CT overcurrent</t>
  </si>
  <si>
    <t xml:space="preserve">Arc light + overcurrent</t>
  </si>
  <si>
    <t xml:space="preserve">Arc-flash relay</t>
  </si>
  <si>
    <t xml:space="preserve">Upstream breaker trip</t>
  </si>
  <si>
    <t xml:space="preserve">AC breaker</t>
  </si>
  <si>
    <t xml:space="preserve">Arc cleared in &lt; ~100 ms</t>
  </si>
  <si>
    <t xml:space="preserve">Light AND current (2-criteria) to avoid spurious trips.</t>
  </si>
  <si>
    <t xml:space="preserve">IEC 62271-200 (IAC)</t>
  </si>
  <si>
    <t xml:space="preserve">Transformer protection (63 / 87T / 26 / 49)</t>
  </si>
  <si>
    <t xml:space="preserve">Buchholz relay, sudden-pressure relay, differential CTs, oil / winding temp</t>
  </si>
  <si>
    <t xml:space="preserve">Gas, pressure, differential current, temperature</t>
  </si>
  <si>
    <t xml:space="preserve">Transformer protection relay</t>
  </si>
  <si>
    <t xml:space="preserve">HV and LV breakers</t>
  </si>
  <si>
    <t xml:space="preserve">Transformer de-energized</t>
  </si>
  <si>
    <t xml:space="preserve">IEC 60076, IEEE C37.91</t>
  </si>
  <si>
    <t xml:space="preserve">Breaker-failure protection (50BF)</t>
  </si>
  <si>
    <t xml:space="preserve">CTs</t>
  </si>
  <si>
    <t xml:space="preserve">Current after trip command</t>
  </si>
  <si>
    <t xml:space="preserve">Upstream (backup) breaker</t>
  </si>
  <si>
    <t xml:space="preserve">Fault cleared by backup</t>
  </si>
  <si>
    <t xml:space="preserve">Backup breaker must be separate from failed breaker.</t>
  </si>
  <si>
    <t xml:space="preserve">IEEE C37.119</t>
  </si>
  <si>
    <t xml:space="preserve">AC filter capacitor protection</t>
  </si>
  <si>
    <t xml:space="preserve">Protection</t>
  </si>
  <si>
    <t xml:space="preserve">CT / capacitor temperature sensor</t>
  </si>
  <si>
    <t xml:space="preserve">Filter current, harmonics, temperature</t>
  </si>
  <si>
    <t xml:space="preserve">PCS protection function</t>
  </si>
  <si>
    <t xml:space="preserve">Filter contactor / PCS trip</t>
  </si>
  <si>
    <t xml:space="preserve">Filter disconnected</t>
  </si>
  <si>
    <t xml:space="preserve">Inside PCS controller → limited independence.</t>
  </si>
  <si>
    <t xml:space="preserve">SF-27</t>
  </si>
  <si>
    <t xml:space="preserve">Loss-of-auxiliary-power fail-safe</t>
  </si>
  <si>
    <t xml:space="preserve">Fail-safe design</t>
  </si>
  <si>
    <t xml:space="preserve">Aux voltage relay / UPS status (or inherent: contactor coil powered by aux)</t>
  </si>
  <si>
    <t xml:space="preserve">Aux supply present</t>
  </si>
  <si>
    <t xml:space="preserve">Hardwired (de-energize-to-trip)</t>
  </si>
  <si>
    <t xml:space="preserve">Rack DC contactors open; safety systems stay on UPS</t>
  </si>
  <si>
    <t xml:space="preserve">Battery isolated when monitoring is lost</t>
  </si>
  <si>
    <t xml:space="preserve">De-energize-to-trip makes this inherently safe; verify UPS autonomy for detection/ventilation.</t>
  </si>
  <si>
    <t xml:space="preserve">IEC 61508 (fail-safe principle)</t>
  </si>
  <si>
    <t xml:space="preserve">Suppression lock-off / occupancy interlock</t>
  </si>
  <si>
    <t xml:space="preserve">Door switch, occupancy sensor, lock-off valve / key position</t>
  </si>
  <si>
    <t xml:space="preserve">Personnel present</t>
  </si>
  <si>
    <t xml:space="preserve">Suppression release panel</t>
  </si>
  <si>
    <t xml:space="preserve">Release inhibit + pre-discharge alarm/strobe + time delay</t>
  </si>
  <si>
    <t xml:space="preserve">Start/close/charge inhibit; Indication / alarm</t>
  </si>
  <si>
    <t xml:space="preserve">No discharge while occupied</t>
  </si>
  <si>
    <t xml:space="preserve">Must not disable automatic protection when unoccupied (auto-restore).</t>
  </si>
  <si>
    <t xml:space="preserve">ISO 14520, NFPA 2001</t>
  </si>
  <si>
    <t xml:space="preserve">Refrigerant / O2 detection → ventilate</t>
  </si>
  <si>
    <t xml:space="preserve">Detection → action</t>
  </si>
  <si>
    <t xml:space="preserve">Refrigerant or O2 sensor</t>
  </si>
  <si>
    <t xml:space="preserve">Refrigerant ppm / O2 %</t>
  </si>
  <si>
    <t xml:space="preserve">Gas controller</t>
  </si>
  <si>
    <t xml:space="preserve">Ventilation fan + entry warning beacon</t>
  </si>
  <si>
    <t xml:space="preserve">Ventilation fan / damper; Indication / alarm</t>
  </si>
  <si>
    <t xml:space="preserve">Safe atmosphere before entry</t>
  </si>
  <si>
    <t xml:space="preserve">ISO 5149, EN 378</t>
  </si>
  <si>
    <t xml:space="preserve">SF-30</t>
  </si>
  <si>
    <t xml:space="preserve">UPS charger overvoltage protection</t>
  </si>
  <si>
    <t xml:space="preserve">Battery-voltage sensing</t>
  </si>
  <si>
    <t xml:space="preserve">Float / charge voltage</t>
  </si>
  <si>
    <t xml:space="preserve">Charger protection circuit</t>
  </si>
  <si>
    <t xml:space="preserve">Charger output off</t>
  </si>
  <si>
    <t xml:space="preserve">Charger output</t>
  </si>
  <si>
    <t xml:space="preserve">No overcharge of VRLA → no excess H2</t>
  </si>
  <si>
    <t xml:space="preserve">IEC 62485-2</t>
  </si>
  <si>
    <t xml:space="preserve">Voltage-match interlock for paralleling strings</t>
  </si>
  <si>
    <t xml:space="preserve">String voltage measurement</t>
  </si>
  <si>
    <t xml:space="preserve">ΔV between string and DC bus</t>
  </si>
  <si>
    <t xml:space="preserve">BMS master</t>
  </si>
  <si>
    <t xml:space="preserve">Block contactor close</t>
  </si>
  <si>
    <t xml:space="preserve">No closing onto large ΔV</t>
  </si>
  <si>
    <t xml:space="preserve">Polarity-check interlock</t>
  </si>
  <si>
    <t xml:space="preserve">Voltage polarity measurement</t>
  </si>
  <si>
    <t xml:space="preserve">Polarity / expected voltage</t>
  </si>
  <si>
    <t xml:space="preserve">BMS / commissioning tool</t>
  </si>
  <si>
    <t xml:space="preserve">No energization of mis-wired string</t>
  </si>
  <si>
    <t xml:space="preserve">Emergency stop / remote isolation (ESD) with status indication</t>
  </si>
  <si>
    <t xml:space="preserve">Manual SIF / E-stop</t>
  </si>
  <si>
    <t xml:space="preserve">E-stop pushbuttons (local + remote/fire-panel)</t>
  </si>
  <si>
    <t xml:space="preserve">Operator action</t>
  </si>
  <si>
    <t xml:space="preserve">Hardwired ESD loop / safety relay</t>
  </si>
  <si>
    <t xml:space="preserve">All DC contactors + PCS AC breaker + interface breaker; 'isolated' indicator for responders</t>
  </si>
  <si>
    <t xml:space="preserve">DC contactor; AC breaker; Interface (POI) breaker; Indication / alarm</t>
  </si>
  <si>
    <t xml:space="preserve">Whole BESS isolated</t>
  </si>
  <si>
    <t xml:space="preserve">Human is the 'sensor' → LOPA credit limited. Note: DC modules remain internally live (stranded energy).</t>
  </si>
  <si>
    <t xml:space="preserve">ISO 13850 (concept), NFPA 855</t>
  </si>
  <si>
    <t xml:space="preserve">SF-34</t>
  </si>
  <si>
    <t xml:space="preserve">Parameter integrity check at start-up</t>
  </si>
  <si>
    <t xml:space="preserve">Software diagnostic</t>
  </si>
  <si>
    <t xml:space="preserve">Configuration checksum / signed firmware</t>
  </si>
  <si>
    <t xml:space="preserve">Parameter set vs approved baseline</t>
  </si>
  <si>
    <t xml:space="preserve">BMS / PCS bootloader</t>
  </si>
  <si>
    <t xml:space="preserve">Start inhibit</t>
  </si>
  <si>
    <t xml:space="preserve">System does not run with unapproved limits</t>
  </si>
  <si>
    <t xml:space="preserve">On-demand at start</t>
  </si>
  <si>
    <t xml:space="preserve">Systematic-fault measure; complements (does not replace) hard-coded SF-01/SF-10.</t>
  </si>
  <si>
    <t xml:space="preserve">IEC 61508-3, IEC 62443</t>
  </si>
  <si>
    <t xml:space="preserve">Measure</t>
  </si>
  <si>
    <t xml:space="preserve">Scenarios (comma-separated)</t>
  </si>
  <si>
    <t xml:space="preserve">Passive – propagation barriers / cell spacing</t>
  </si>
  <si>
    <t xml:space="preserve">IC-01, all TR</t>
  </si>
  <si>
    <t xml:space="preserve">Passive – bollards / crash barriers</t>
  </si>
  <si>
    <t xml:space="preserve">Passive – separation distance / fire-rated walls</t>
  </si>
  <si>
    <t xml:space="preserve">EX-01, GR-04</t>
  </si>
  <si>
    <t xml:space="preserve">Passive – deflagration vents / explosion panels</t>
  </si>
  <si>
    <t xml:space="preserve">Passive – lightning protection system + SPD</t>
  </si>
  <si>
    <t xml:space="preserve">Passive – ingress protection (IP rating, sealing)</t>
  </si>
  <si>
    <t xml:space="preserve">EX-04, EX-05</t>
  </si>
  <si>
    <t xml:space="preserve">Passive – IAC-rated switchgear, pressure relief</t>
  </si>
  <si>
    <t xml:space="preserve">Design – module service disconnect / plug</t>
  </si>
  <si>
    <t xml:space="preserve">Design – hardwired (non-networked) safety trips; network zoning</t>
  </si>
  <si>
    <t xml:space="preserve">Admin – de-energized work policy, LOTO, PPE</t>
  </si>
  <si>
    <t xml:space="preserve">SH-02, SH-04, GR-02</t>
  </si>
  <si>
    <t xml:space="preserve">Admin – lifting plan</t>
  </si>
  <si>
    <t xml:space="preserve">Admin – incoming inspection and quarantine</t>
  </si>
  <si>
    <t xml:space="preserve">LC-01, ME-03</t>
  </si>
  <si>
    <t xml:space="preserve">Admin – SOH-based retirement</t>
  </si>
  <si>
    <t xml:space="preserve">Admin – discharge-to-safe-SOC before dismantling</t>
  </si>
  <si>
    <t xml:space="preserve">Admin – post-fire monitoring &amp; emergency response plan</t>
  </si>
  <si>
    <t xml:space="preserve">ER-01, ER-02</t>
  </si>
  <si>
    <t xml:space="preserve">Admin – site security / fencing</t>
  </si>
  <si>
    <t xml:space="preserve">Admin – management of change for parameters/firmware</t>
  </si>
  <si>
    <t xml:space="preserve">Component</t>
  </si>
  <si>
    <t xml:space="preserve">Colour (hex)</t>
  </si>
  <si>
    <t xml:space="preserve">PCS/BMS panel text (leave empty = not in panel)</t>
  </si>
  <si>
    <t xml:space="preserve">Group (display order)</t>
  </si>
  <si>
    <t xml:space="preserve">Hazard type</t>
  </si>
  <si>
    <t xml:space="preserve">Icon</t>
  </si>
  <si>
    <t xml:space="preserve">Show as filter (Y/N)</t>
  </si>
  <si>
    <t xml:space="preserve">SF type filter chips (keyword in 'Type')</t>
  </si>
  <si>
    <t xml:space="preserve">#5aa9ff</t>
  </si>
  <si>
    <t xml:space="preserve">Power conversion: follows setpoints, converts DC↔AC.</t>
  </si>
  <si>
    <t xml:space="preserve">🔥</t>
  </si>
  <si>
    <t xml:space="preserve">Y</t>
  </si>
  <si>
    <t xml:space="preserve">#a78bfa</t>
  </si>
  <si>
    <t xml:space="preserve">Battery management: measures cells, computes limits, commands stop.</t>
  </si>
  <si>
    <t xml:space="preserve">💥</t>
  </si>
  <si>
    <t xml:space="preserve">#2dd4bf</t>
  </si>
  <si>
    <t xml:space="preserve">The link that carries BMS limits to the PCS.</t>
  </si>
  <si>
    <t xml:space="preserve">☠️</t>
  </si>
  <si>
    <t xml:space="preserve">#fbbf24</t>
  </si>
  <si>
    <t xml:space="preserve">⚡</t>
  </si>
  <si>
    <t xml:space="preserve">Detection</t>
  </si>
  <si>
    <t xml:space="preserve">#fb923c</t>
  </si>
  <si>
    <t xml:space="preserve">✴️</t>
  </si>
  <si>
    <t xml:space="preserve">Fail-safe</t>
  </si>
  <si>
    <t xml:space="preserve">#67e8f9</t>
  </si>
  <si>
    <t xml:space="preserve">🫁</t>
  </si>
  <si>
    <t xml:space="preserve">Manual</t>
  </si>
  <si>
    <t xml:space="preserve">#60a5fa</t>
  </si>
  <si>
    <t xml:space="preserve">⚙️</t>
  </si>
  <si>
    <t xml:space="preserve">Diagnostic</t>
  </si>
  <si>
    <t xml:space="preserve">#f472b6</t>
  </si>
  <si>
    <t xml:space="preserve">Chemical burn</t>
  </si>
  <si>
    <t xml:space="preserve">🧪</t>
  </si>
  <si>
    <t xml:space="preserve">N</t>
  </si>
  <si>
    <t xml:space="preserve">Control-level</t>
  </si>
  <si>
    <t xml:space="preserve">#4ade80</t>
  </si>
  <si>
    <t xml:space="preserve">#a3a3a3</t>
  </si>
  <si>
    <t xml:space="preserve">#fda4af</t>
  </si>
  <si>
    <t xml:space="preserve">Key (do not change)</t>
  </si>
  <si>
    <t xml:space="preserve">Text</t>
  </si>
  <si>
    <t xml:space="preserve">title</t>
  </si>
  <si>
    <t xml:space="preserve">Hazardous scenarios in a grid-connected BESS</t>
  </si>
  <si>
    <t xml:space="preserve">subtitle</t>
  </si>
  <si>
    <t xml:space="preserve">Each scenario is written as in step 1 of the LOPA: one initiating event, the sequence it starts, what physically happens, and how a person gets hurt. Every initiating event belongs to one component only, so PCS and BMS failures are separate scenarios.</t>
  </si>
  <si>
    <t xml:space="preserve">owners_heading</t>
  </si>
  <si>
    <t xml:space="preserve">PCS, BMS and the link between them</t>
  </si>
  <si>
    <t xml:space="preserve">owners_intro</t>
  </si>
  <si>
    <t xml:space="preserve">Your example says "PCS / BMS charging control fails". These are different failures with different independence problems, so they are split. If the PCS is the cause, a BMS-based trip can be credited; if the BMS is the cause, only a trip that does not use the BMS sensor, CPU or software can be credited.</t>
  </si>
  <si>
    <t xml:space="preserve">reuse_warning</t>
  </si>
  <si>
    <t xml:space="preserve">The rack DC contactor carries most of the load. A welded contactor (scenario [OC-03]) defeats every function that relies on it. A diverse second final element, such as a DC breaker with shunt trip, gives a 1oo2 path to the safe state.</t>
  </si>
  <si>
    <t xml:space="preserve">home_url</t>
  </si>
  <si>
    <t xml:space="preserve">Main_IEC61508_Safety_Lifecycle_Overview.html</t>
  </si>
  <si>
    <t xml:space="preserve">home_label</t>
  </si>
  <si>
    <t xml:space="preserve">Home · IEC 61508 Safety Lifecycle</t>
  </si>
  <si>
    <t xml:space="preserve">home_url: file name of the home page. Same folder = just the file name; other folder = relative path with / and ../ (e.g. ../Main_IEC61508_Safety_Lifecycle_Overview.html).</t>
  </si>
  <si>
    <t xml:space="preserve">Check</t>
  </si>
  <si>
    <t xml:space="preserve">Value</t>
  </si>
  <si>
    <t xml:space="preserve">Scenarios</t>
  </si>
  <si>
    <t xml:space="preserve">Safety functions</t>
  </si>
  <si>
    <t xml:space="preserve">Scenarios with no SF (passive/admin only)</t>
  </si>
  <si>
    <t xml:space="preserve">Scenarios with unknown SF ID</t>
  </si>
  <si>
    <t xml:space="preserve">Safety functions not cited by any scenario</t>
  </si>
  <si>
    <t xml:space="preserve">Scenarios with component not in Lists</t>
  </si>
  <si>
    <t xml:space="preserve">Scenarios with group not in Lists</t>
  </si>
  <si>
    <t xml:space="preserve">Expected: last four checks = 0 before rebuilding the HTML.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</si>
</sst>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55A11"/>
        <bgColor rgb="FF993300"/>
      </patternFill>
    </fill>
    <fill>
      <patternFill patternType="solid">
        <fgColor rgb="FFBF8F00"/>
        <bgColor rgb="FFFB923C"/>
      </patternFill>
    </fill>
    <fill>
      <patternFill patternType="solid">
        <fgColor rgb="FFC00000"/>
        <bgColor rgb="FF800000"/>
      </patternFill>
    </fill>
    <fill>
      <patternFill patternType="solid">
        <fgColor rgb="FF548235"/>
        <bgColor rgb="FF595959"/>
      </patternFill>
    </fill>
    <fill>
      <patternFill patternType="solid">
        <fgColor rgb="FF7F7F7F"/>
        <bgColor rgb="FF999999"/>
      </patternFill>
    </fill>
    <fill>
      <patternFill patternType="solid">
        <fgColor rgb="FFEDEDED"/>
        <bgColor rgb="FFFFFFFF"/>
      </patternFill>
    </fill>
    <fill>
      <patternFill patternType="solid">
        <fgColor rgb="FF2F75B5"/>
        <bgColor rgb="FF0066CC"/>
      </patternFill>
    </fill>
    <fill>
      <patternFill patternType="solid">
        <fgColor rgb="FF5AA9FF"/>
        <bgColor rgb="FF60A5FA"/>
      </patternFill>
    </fill>
    <fill>
      <patternFill patternType="solid">
        <fgColor rgb="FFA78BFA"/>
        <bgColor rgb="FFA3A3A3"/>
      </patternFill>
    </fill>
    <fill>
      <patternFill patternType="solid">
        <fgColor rgb="FF2DD4BF"/>
        <bgColor rgb="FF4ADE80"/>
      </patternFill>
    </fill>
    <fill>
      <patternFill patternType="solid">
        <fgColor rgb="FFFBBF24"/>
        <bgColor rgb="FFFB923C"/>
      </patternFill>
    </fill>
    <fill>
      <patternFill patternType="solid">
        <fgColor rgb="FFFB923C"/>
        <bgColor rgb="FFFBBF24"/>
      </patternFill>
    </fill>
    <fill>
      <patternFill patternType="solid">
        <fgColor rgb="FF67E8F9"/>
        <bgColor rgb="FF2DD4BF"/>
      </patternFill>
    </fill>
    <fill>
      <patternFill patternType="solid">
        <fgColor rgb="FF60A5FA"/>
        <bgColor rgb="FF5AA9FF"/>
      </patternFill>
    </fill>
    <fill>
      <patternFill patternType="solid">
        <fgColor rgb="FFF472B6"/>
        <bgColor rgb="FFFDA4AF"/>
      </patternFill>
    </fill>
    <fill>
      <patternFill patternType="solid">
        <fgColor rgb="FF4ADE80"/>
        <bgColor rgb="FF2DD4BF"/>
      </patternFill>
    </fill>
    <fill>
      <patternFill patternType="solid">
        <fgColor rgb="FFA3A3A3"/>
        <bgColor rgb="FF999999"/>
      </patternFill>
    </fill>
    <fill>
      <patternFill patternType="solid">
        <fgColor rgb="FFFDA4AF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2F75B5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3A3A3"/>
      <rgbColor rgb="FF7F7F7F"/>
      <rgbColor rgb="FFA78BFA"/>
      <rgbColor rgb="FF993366"/>
      <rgbColor rgb="FFEDEDED"/>
      <rgbColor rgb="FFCCFFFF"/>
      <rgbColor rgb="FF660066"/>
      <rgbColor rgb="FFF472B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5AA9FF"/>
      <rgbColor rgb="FFCCFFFF"/>
      <rgbColor rgb="FFCCFFCC"/>
      <rgbColor rgb="FFFFFF99"/>
      <rgbColor rgb="FF67E8F9"/>
      <rgbColor rgb="FFFDA4AF"/>
      <rgbColor rgb="FF60A5FA"/>
      <rgbColor rgb="FFFFCC99"/>
      <rgbColor rgb="FF2F75B5"/>
      <rgbColor rgb="FF2DD4BF"/>
      <rgbColor rgb="FFBF8F00"/>
      <rgbColor rgb="FFFBBF24"/>
      <rgbColor rgb="FFFB923C"/>
      <rgbColor rgb="FFC55A11"/>
      <rgbColor rgb="FF595959"/>
      <rgbColor rgb="FF999999"/>
      <rgbColor rgb="FF1F3864"/>
      <rgbColor rgb="FF4ADE8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7.25" hidden="false" customHeight="true" outlineLevel="0" collapsed="false">
      <c r="A1" s="2" t="s">
        <v>0</v>
      </c>
    </row>
    <row r="2" customFormat="false" ht="23.2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23.25" hidden="false" customHeight="true" outlineLevel="0" collapsed="false">
      <c r="A7" s="3" t="s">
        <v>5</v>
      </c>
    </row>
    <row r="8" customFormat="false" ht="23.2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 t="s">
        <v>9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4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 t="s">
        <v>15</v>
      </c>
    </row>
    <row r="19" customFormat="false" ht="15" hidden="false" customHeight="true" outlineLevel="0" collapsed="false">
      <c r="A19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0"/>
    <col collapsed="false" customWidth="true" hidden="false" outlineLevel="0" max="4" min="3" style="1" width="18"/>
    <col collapsed="false" customWidth="true" hidden="false" outlineLevel="0" max="5" min="5" style="1" width="30"/>
    <col collapsed="false" customWidth="true" hidden="false" outlineLevel="0" max="6" min="6" style="1" width="32"/>
    <col collapsed="false" customWidth="true" hidden="false" outlineLevel="0" max="8" min="7" style="1" width="34"/>
    <col collapsed="false" customWidth="true" hidden="false" outlineLevel="0" max="9" min="9" style="1" width="38"/>
    <col collapsed="false" customWidth="true" hidden="false" outlineLevel="0" max="10" min="10" style="1" width="48"/>
    <col collapsed="false" customWidth="true" hidden="false" outlineLevel="0" max="11" min="11" style="1" width="20"/>
    <col collapsed="false" customWidth="true" hidden="false" outlineLevel="0" max="13" min="12" style="1" width="14"/>
    <col collapsed="false" customWidth="true" hidden="false" outlineLevel="0" max="14" min="14" style="1" width="28"/>
    <col collapsed="false" customWidth="true" hidden="false" outlineLevel="0" max="15" min="15" style="1" width="14"/>
    <col collapsed="false" customWidth="true" hidden="false" outlineLevel="0" max="16" min="16" style="1" width="16"/>
  </cols>
  <sheetData>
    <row r="1" customFormat="false" ht="39.75" hidden="false" customHeight="tru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6" t="s">
        <v>21</v>
      </c>
      <c r="F1" s="6" t="s">
        <v>22</v>
      </c>
      <c r="G1" s="6" t="s">
        <v>23</v>
      </c>
      <c r="H1" s="5" t="s">
        <v>24</v>
      </c>
      <c r="I1" s="7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9" t="s">
        <v>30</v>
      </c>
      <c r="O1" s="9" t="s">
        <v>31</v>
      </c>
      <c r="P1" s="10" t="s">
        <v>32</v>
      </c>
    </row>
    <row r="2" customFormat="false" ht="74.25" hidden="false" customHeight="true" outlineLevel="0" collapsed="false">
      <c r="A2" s="11" t="s">
        <v>33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  <c r="G2" s="12" t="s">
        <v>39</v>
      </c>
      <c r="H2" s="12" t="s">
        <v>40</v>
      </c>
      <c r="I2" s="12" t="s">
        <v>41</v>
      </c>
      <c r="J2" s="12" t="s">
        <v>42</v>
      </c>
      <c r="K2" s="12" t="s">
        <v>43</v>
      </c>
      <c r="L2" s="12" t="s">
        <v>44</v>
      </c>
      <c r="M2" s="12" t="s">
        <v>45</v>
      </c>
      <c r="N2" s="12" t="s">
        <v>46</v>
      </c>
      <c r="O2" s="12" t="s">
        <v>47</v>
      </c>
      <c r="P2" s="13" t="str">
        <f aca="false">IF(O2="","none",IF(SUMPRODUCT(ISNUMBER(SEARCH('Safety functions'!$A$2:$A$200,O2))*('Safety functions'!$A$2:$A$200&lt;&gt;""))=LEN(O2)-LEN(SUBSTITUTE(O2,",",""))+1,"OK","check"))</f>
        <v>OK</v>
      </c>
    </row>
    <row r="3" customFormat="false" ht="74.25" hidden="false" customHeight="true" outlineLevel="0" collapsed="false">
      <c r="A3" s="11" t="s">
        <v>48</v>
      </c>
      <c r="B3" s="12" t="s">
        <v>34</v>
      </c>
      <c r="C3" s="12" t="s">
        <v>49</v>
      </c>
      <c r="D3" s="12" t="s">
        <v>36</v>
      </c>
      <c r="E3" s="12" t="s">
        <v>50</v>
      </c>
      <c r="F3" s="12" t="s">
        <v>51</v>
      </c>
      <c r="G3" s="12" t="s">
        <v>52</v>
      </c>
      <c r="H3" s="12" t="s">
        <v>53</v>
      </c>
      <c r="I3" s="12" t="s">
        <v>41</v>
      </c>
      <c r="J3" s="12" t="s">
        <v>42</v>
      </c>
      <c r="K3" s="12" t="s">
        <v>43</v>
      </c>
      <c r="L3" s="12" t="s">
        <v>44</v>
      </c>
      <c r="M3" s="12" t="s">
        <v>45</v>
      </c>
      <c r="N3" s="12" t="s">
        <v>54</v>
      </c>
      <c r="O3" s="12" t="s">
        <v>55</v>
      </c>
      <c r="P3" s="13" t="str">
        <f aca="false">IF(O3="","none",IF(SUMPRODUCT(ISNUMBER(SEARCH('Safety functions'!$A$2:$A$200,O3))*('Safety functions'!$A$2:$A$200&lt;&gt;""))=LEN(O3)-LEN(SUBSTITUTE(O3,",",""))+1,"OK","check"))</f>
        <v>OK</v>
      </c>
    </row>
    <row r="4" customFormat="false" ht="74.25" hidden="false" customHeight="true" outlineLevel="0" collapsed="false">
      <c r="A4" s="11" t="s">
        <v>56</v>
      </c>
      <c r="B4" s="12" t="s">
        <v>34</v>
      </c>
      <c r="C4" s="12" t="s">
        <v>57</v>
      </c>
      <c r="D4" s="12" t="s">
        <v>36</v>
      </c>
      <c r="E4" s="12" t="s">
        <v>58</v>
      </c>
      <c r="F4" s="12" t="s">
        <v>59</v>
      </c>
      <c r="G4" s="12" t="s">
        <v>60</v>
      </c>
      <c r="H4" s="12" t="s">
        <v>61</v>
      </c>
      <c r="I4" s="12" t="s">
        <v>41</v>
      </c>
      <c r="J4" s="12" t="s">
        <v>42</v>
      </c>
      <c r="K4" s="12" t="s">
        <v>43</v>
      </c>
      <c r="L4" s="12" t="s">
        <v>44</v>
      </c>
      <c r="M4" s="12" t="s">
        <v>45</v>
      </c>
      <c r="N4" s="12" t="s">
        <v>62</v>
      </c>
      <c r="O4" s="12" t="s">
        <v>47</v>
      </c>
      <c r="P4" s="13" t="str">
        <f aca="false">IF(O4="","none",IF(SUMPRODUCT(ISNUMBER(SEARCH('Safety functions'!$A$2:$A$200,O4))*('Safety functions'!$A$2:$A$200&lt;&gt;""))=LEN(O4)-LEN(SUBSTITUTE(O4,",",""))+1,"OK","check"))</f>
        <v>OK</v>
      </c>
    </row>
    <row r="5" customFormat="false" ht="74.25" hidden="false" customHeight="true" outlineLevel="0" collapsed="false">
      <c r="A5" s="11" t="s">
        <v>63</v>
      </c>
      <c r="B5" s="12" t="s">
        <v>34</v>
      </c>
      <c r="C5" s="12" t="s">
        <v>57</v>
      </c>
      <c r="D5" s="12" t="s">
        <v>36</v>
      </c>
      <c r="E5" s="12" t="s">
        <v>64</v>
      </c>
      <c r="F5" s="12" t="s">
        <v>65</v>
      </c>
      <c r="G5" s="12" t="s">
        <v>66</v>
      </c>
      <c r="H5" s="12" t="s">
        <v>67</v>
      </c>
      <c r="I5" s="12" t="s">
        <v>41</v>
      </c>
      <c r="J5" s="12" t="s">
        <v>42</v>
      </c>
      <c r="K5" s="12" t="s">
        <v>43</v>
      </c>
      <c r="L5" s="12" t="s">
        <v>44</v>
      </c>
      <c r="M5" s="12" t="s">
        <v>45</v>
      </c>
      <c r="N5" s="12" t="s">
        <v>68</v>
      </c>
      <c r="O5" s="12" t="s">
        <v>47</v>
      </c>
      <c r="P5" s="13" t="str">
        <f aca="false">IF(O5="","none",IF(SUMPRODUCT(ISNUMBER(SEARCH('Safety functions'!$A$2:$A$200,O5))*('Safety functions'!$A$2:$A$200&lt;&gt;""))=LEN(O5)-LEN(SUBSTITUTE(O5,",",""))+1,"OK","check"))</f>
        <v>OK</v>
      </c>
    </row>
    <row r="6" customFormat="false" ht="74.25" hidden="false" customHeight="true" outlineLevel="0" collapsed="false">
      <c r="A6" s="11" t="s">
        <v>69</v>
      </c>
      <c r="B6" s="12" t="s">
        <v>34</v>
      </c>
      <c r="C6" s="12" t="s">
        <v>57</v>
      </c>
      <c r="D6" s="12" t="s">
        <v>36</v>
      </c>
      <c r="E6" s="12" t="s">
        <v>70</v>
      </c>
      <c r="F6" s="12" t="s">
        <v>71</v>
      </c>
      <c r="G6" s="12" t="s">
        <v>72</v>
      </c>
      <c r="H6" s="12" t="s">
        <v>73</v>
      </c>
      <c r="I6" s="12" t="s">
        <v>41</v>
      </c>
      <c r="J6" s="12" t="s">
        <v>42</v>
      </c>
      <c r="K6" s="12" t="s">
        <v>43</v>
      </c>
      <c r="L6" s="12" t="s">
        <v>44</v>
      </c>
      <c r="M6" s="12" t="s">
        <v>45</v>
      </c>
      <c r="N6" s="12" t="s">
        <v>74</v>
      </c>
      <c r="O6" s="12" t="s">
        <v>47</v>
      </c>
      <c r="P6" s="13" t="str">
        <f aca="false">IF(O6="","none",IF(SUMPRODUCT(ISNUMBER(SEARCH('Safety functions'!$A$2:$A$200,O6))*('Safety functions'!$A$2:$A$200&lt;&gt;""))=LEN(O6)-LEN(SUBSTITUTE(O6,",",""))+1,"OK","check"))</f>
        <v>OK</v>
      </c>
    </row>
    <row r="7" customFormat="false" ht="74.25" hidden="false" customHeight="true" outlineLevel="0" collapsed="false">
      <c r="A7" s="11" t="s">
        <v>75</v>
      </c>
      <c r="B7" s="12" t="s">
        <v>34</v>
      </c>
      <c r="C7" s="12" t="s">
        <v>57</v>
      </c>
      <c r="D7" s="12" t="s">
        <v>36</v>
      </c>
      <c r="E7" s="12" t="s">
        <v>76</v>
      </c>
      <c r="F7" s="12" t="s">
        <v>77</v>
      </c>
      <c r="G7" s="12" t="s">
        <v>78</v>
      </c>
      <c r="H7" s="12" t="s">
        <v>79</v>
      </c>
      <c r="I7" s="12" t="s">
        <v>41</v>
      </c>
      <c r="J7" s="12" t="s">
        <v>42</v>
      </c>
      <c r="K7" s="12" t="s">
        <v>43</v>
      </c>
      <c r="L7" s="12" t="s">
        <v>44</v>
      </c>
      <c r="M7" s="12" t="s">
        <v>45</v>
      </c>
      <c r="N7" s="12" t="s">
        <v>80</v>
      </c>
      <c r="O7" s="12" t="s">
        <v>47</v>
      </c>
      <c r="P7" s="13" t="str">
        <f aca="false">IF(O7="","none",IF(SUMPRODUCT(ISNUMBER(SEARCH('Safety functions'!$A$2:$A$200,O7))*('Safety functions'!$A$2:$A$200&lt;&gt;""))=LEN(O7)-LEN(SUBSTITUTE(O7,",",""))+1,"OK","check"))</f>
        <v>OK</v>
      </c>
    </row>
    <row r="8" customFormat="false" ht="74.25" hidden="false" customHeight="true" outlineLevel="0" collapsed="false">
      <c r="A8" s="11" t="s">
        <v>81</v>
      </c>
      <c r="B8" s="12" t="s">
        <v>82</v>
      </c>
      <c r="C8" s="12" t="s">
        <v>57</v>
      </c>
      <c r="D8" s="12" t="s">
        <v>83</v>
      </c>
      <c r="E8" s="12" t="s">
        <v>84</v>
      </c>
      <c r="F8" s="12" t="s">
        <v>85</v>
      </c>
      <c r="G8" s="12" t="s">
        <v>86</v>
      </c>
      <c r="H8" s="12" t="s">
        <v>87</v>
      </c>
      <c r="I8" s="12" t="s">
        <v>41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88</v>
      </c>
      <c r="O8" s="12" t="s">
        <v>89</v>
      </c>
      <c r="P8" s="13" t="str">
        <f aca="false">IF(O8="","none",IF(SUMPRODUCT(ISNUMBER(SEARCH('Safety functions'!$A$2:$A$200,O8))*('Safety functions'!$A$2:$A$200&lt;&gt;""))=LEN(O8)-LEN(SUBSTITUTE(O8,",",""))+1,"OK","check"))</f>
        <v>OK</v>
      </c>
    </row>
    <row r="9" customFormat="false" ht="74.25" hidden="false" customHeight="true" outlineLevel="0" collapsed="false">
      <c r="A9" s="11" t="s">
        <v>90</v>
      </c>
      <c r="B9" s="12" t="s">
        <v>82</v>
      </c>
      <c r="C9" s="12" t="s">
        <v>91</v>
      </c>
      <c r="D9" s="12" t="s">
        <v>92</v>
      </c>
      <c r="E9" s="12" t="s">
        <v>93</v>
      </c>
      <c r="F9" s="12" t="s">
        <v>94</v>
      </c>
      <c r="G9" s="12" t="s">
        <v>95</v>
      </c>
      <c r="H9" s="12" t="s">
        <v>96</v>
      </c>
      <c r="I9" s="12" t="s">
        <v>41</v>
      </c>
      <c r="J9" s="12" t="s">
        <v>42</v>
      </c>
      <c r="K9" s="12" t="s">
        <v>43</v>
      </c>
      <c r="L9" s="12" t="s">
        <v>44</v>
      </c>
      <c r="M9" s="12" t="s">
        <v>45</v>
      </c>
      <c r="N9" s="12" t="s">
        <v>97</v>
      </c>
      <c r="O9" s="12" t="s">
        <v>98</v>
      </c>
      <c r="P9" s="13" t="str">
        <f aca="false">IF(O9="","none",IF(SUMPRODUCT(ISNUMBER(SEARCH('Safety functions'!$A$2:$A$200,O9))*('Safety functions'!$A$2:$A$200&lt;&gt;""))=LEN(O9)-LEN(SUBSTITUTE(O9,",",""))+1,"OK","check"))</f>
        <v>OK</v>
      </c>
    </row>
    <row r="10" customFormat="false" ht="42.75" hidden="false" customHeight="true" outlineLevel="0" collapsed="false">
      <c r="A10" s="11" t="s">
        <v>99</v>
      </c>
      <c r="B10" s="12" t="s">
        <v>100</v>
      </c>
      <c r="C10" s="12" t="s">
        <v>35</v>
      </c>
      <c r="D10" s="12" t="s">
        <v>101</v>
      </c>
      <c r="E10" s="12" t="s">
        <v>102</v>
      </c>
      <c r="F10" s="12" t="s">
        <v>103</v>
      </c>
      <c r="G10" s="12" t="s">
        <v>104</v>
      </c>
      <c r="H10" s="12" t="s">
        <v>105</v>
      </c>
      <c r="I10" s="12" t="s">
        <v>106</v>
      </c>
      <c r="J10" s="12" t="s">
        <v>107</v>
      </c>
      <c r="K10" s="12" t="s">
        <v>108</v>
      </c>
      <c r="L10" s="12" t="s">
        <v>44</v>
      </c>
      <c r="M10" s="12" t="s">
        <v>109</v>
      </c>
      <c r="N10" s="12" t="s">
        <v>110</v>
      </c>
      <c r="O10" s="12" t="s">
        <v>111</v>
      </c>
      <c r="P10" s="13" t="str">
        <f aca="false">IF(O10="","none",IF(SUMPRODUCT(ISNUMBER(SEARCH('Safety functions'!$A$2:$A$200,O10))*('Safety functions'!$A$2:$A$200&lt;&gt;""))=LEN(O10)-LEN(SUBSTITUTE(O10,",",""))+1,"OK","check"))</f>
        <v>OK</v>
      </c>
    </row>
    <row r="11" customFormat="false" ht="53.25" hidden="false" customHeight="true" outlineLevel="0" collapsed="false">
      <c r="A11" s="11" t="s">
        <v>112</v>
      </c>
      <c r="B11" s="12" t="s">
        <v>100</v>
      </c>
      <c r="C11" s="12" t="s">
        <v>113</v>
      </c>
      <c r="D11" s="12" t="s">
        <v>114</v>
      </c>
      <c r="E11" s="12" t="s">
        <v>115</v>
      </c>
      <c r="F11" s="12" t="s">
        <v>116</v>
      </c>
      <c r="G11" s="12" t="s">
        <v>117</v>
      </c>
      <c r="H11" s="12" t="s">
        <v>118</v>
      </c>
      <c r="I11" s="12" t="s">
        <v>119</v>
      </c>
      <c r="J11" s="12" t="s">
        <v>120</v>
      </c>
      <c r="K11" s="12" t="s">
        <v>121</v>
      </c>
      <c r="L11" s="12" t="s">
        <v>122</v>
      </c>
      <c r="M11" s="12" t="s">
        <v>123</v>
      </c>
      <c r="N11" s="12" t="s">
        <v>124</v>
      </c>
      <c r="O11" s="12" t="s">
        <v>125</v>
      </c>
      <c r="P11" s="13" t="str">
        <f aca="false">IF(O11="","none",IF(SUMPRODUCT(ISNUMBER(SEARCH('Safety functions'!$A$2:$A$200,O11))*('Safety functions'!$A$2:$A$200&lt;&gt;""))=LEN(O11)-LEN(SUBSTITUTE(O11,",",""))+1,"OK","check"))</f>
        <v>OK</v>
      </c>
    </row>
    <row r="12" customFormat="false" ht="53.25" hidden="false" customHeight="true" outlineLevel="0" collapsed="false">
      <c r="A12" s="11" t="s">
        <v>126</v>
      </c>
      <c r="B12" s="12" t="s">
        <v>100</v>
      </c>
      <c r="C12" s="12" t="s">
        <v>113</v>
      </c>
      <c r="D12" s="12" t="s">
        <v>127</v>
      </c>
      <c r="E12" s="12" t="s">
        <v>128</v>
      </c>
      <c r="F12" s="12" t="s">
        <v>129</v>
      </c>
      <c r="G12" s="12" t="s">
        <v>130</v>
      </c>
      <c r="H12" s="12" t="s">
        <v>131</v>
      </c>
      <c r="I12" s="12" t="s">
        <v>132</v>
      </c>
      <c r="J12" s="12" t="s">
        <v>133</v>
      </c>
      <c r="K12" s="12" t="s">
        <v>121</v>
      </c>
      <c r="L12" s="12" t="s">
        <v>134</v>
      </c>
      <c r="M12" s="12" t="s">
        <v>135</v>
      </c>
      <c r="N12" s="12" t="s">
        <v>136</v>
      </c>
      <c r="O12" s="12" t="s">
        <v>137</v>
      </c>
      <c r="P12" s="13" t="str">
        <f aca="false">IF(O12="","none",IF(SUMPRODUCT(ISNUMBER(SEARCH('Safety functions'!$A$2:$A$200,O12))*('Safety functions'!$A$2:$A$200&lt;&gt;""))=LEN(O12)-LEN(SUBSTITUTE(O12,",",""))+1,"OK","check"))</f>
        <v>OK</v>
      </c>
    </row>
    <row r="13" customFormat="false" ht="63.75" hidden="false" customHeight="true" outlineLevel="0" collapsed="false">
      <c r="A13" s="11" t="s">
        <v>138</v>
      </c>
      <c r="B13" s="12" t="s">
        <v>100</v>
      </c>
      <c r="C13" s="12" t="s">
        <v>113</v>
      </c>
      <c r="D13" s="12" t="s">
        <v>101</v>
      </c>
      <c r="E13" s="12" t="s">
        <v>139</v>
      </c>
      <c r="F13" s="12" t="s">
        <v>140</v>
      </c>
      <c r="G13" s="12" t="s">
        <v>141</v>
      </c>
      <c r="H13" s="12" t="s">
        <v>142</v>
      </c>
      <c r="I13" s="12" t="s">
        <v>143</v>
      </c>
      <c r="J13" s="12" t="s">
        <v>42</v>
      </c>
      <c r="K13" s="12" t="s">
        <v>43</v>
      </c>
      <c r="L13" s="12" t="s">
        <v>44</v>
      </c>
      <c r="M13" s="12" t="s">
        <v>144</v>
      </c>
      <c r="N13" s="12" t="s">
        <v>145</v>
      </c>
      <c r="O13" s="12" t="s">
        <v>146</v>
      </c>
      <c r="P13" s="13" t="str">
        <f aca="false">IF(O13="","none",IF(SUMPRODUCT(ISNUMBER(SEARCH('Safety functions'!$A$2:$A$200,O13))*('Safety functions'!$A$2:$A$200&lt;&gt;""))=LEN(O13)-LEN(SUBSTITUTE(O13,",",""))+1,"OK","check"))</f>
        <v>OK</v>
      </c>
    </row>
    <row r="14" customFormat="false" ht="74.25" hidden="false" customHeight="true" outlineLevel="0" collapsed="false">
      <c r="A14" s="11" t="s">
        <v>147</v>
      </c>
      <c r="B14" s="12" t="s">
        <v>148</v>
      </c>
      <c r="C14" s="12" t="s">
        <v>149</v>
      </c>
      <c r="D14" s="12" t="s">
        <v>150</v>
      </c>
      <c r="E14" s="12" t="s">
        <v>151</v>
      </c>
      <c r="F14" s="12" t="s">
        <v>152</v>
      </c>
      <c r="G14" s="12" t="s">
        <v>153</v>
      </c>
      <c r="H14" s="12" t="s">
        <v>154</v>
      </c>
      <c r="I14" s="12" t="s">
        <v>41</v>
      </c>
      <c r="J14" s="12" t="s">
        <v>42</v>
      </c>
      <c r="K14" s="12" t="s">
        <v>43</v>
      </c>
      <c r="L14" s="12" t="s">
        <v>44</v>
      </c>
      <c r="M14" s="12" t="s">
        <v>45</v>
      </c>
      <c r="N14" s="12" t="s">
        <v>155</v>
      </c>
      <c r="O14" s="12" t="s">
        <v>156</v>
      </c>
      <c r="P14" s="13" t="str">
        <f aca="false">IF(O14="","none",IF(SUMPRODUCT(ISNUMBER(SEARCH('Safety functions'!$A$2:$A$200,O14))*('Safety functions'!$A$2:$A$200&lt;&gt;""))=LEN(O14)-LEN(SUBSTITUTE(O14,",",""))+1,"OK","check"))</f>
        <v>OK</v>
      </c>
    </row>
    <row r="15" customFormat="false" ht="74.25" hidden="false" customHeight="true" outlineLevel="0" collapsed="false">
      <c r="A15" s="11" t="s">
        <v>157</v>
      </c>
      <c r="B15" s="12" t="s">
        <v>148</v>
      </c>
      <c r="C15" s="12" t="s">
        <v>149</v>
      </c>
      <c r="D15" s="12" t="s">
        <v>158</v>
      </c>
      <c r="E15" s="12" t="s">
        <v>159</v>
      </c>
      <c r="F15" s="12" t="s">
        <v>160</v>
      </c>
      <c r="G15" s="12" t="s">
        <v>161</v>
      </c>
      <c r="H15" s="12" t="s">
        <v>162</v>
      </c>
      <c r="I15" s="12" t="s">
        <v>41</v>
      </c>
      <c r="J15" s="12" t="s">
        <v>42</v>
      </c>
      <c r="K15" s="12" t="s">
        <v>43</v>
      </c>
      <c r="L15" s="12" t="s">
        <v>44</v>
      </c>
      <c r="M15" s="12" t="s">
        <v>45</v>
      </c>
      <c r="N15" s="12" t="s">
        <v>163</v>
      </c>
      <c r="O15" s="12" t="s">
        <v>164</v>
      </c>
      <c r="P15" s="13" t="str">
        <f aca="false">IF(O15="","none",IF(SUMPRODUCT(ISNUMBER(SEARCH('Safety functions'!$A$2:$A$200,O15))*('Safety functions'!$A$2:$A$200&lt;&gt;""))=LEN(O15)-LEN(SUBSTITUTE(O15,",",""))+1,"OK","check"))</f>
        <v>OK</v>
      </c>
    </row>
    <row r="16" customFormat="false" ht="74.25" hidden="false" customHeight="true" outlineLevel="0" collapsed="false">
      <c r="A16" s="11" t="s">
        <v>165</v>
      </c>
      <c r="B16" s="12" t="s">
        <v>166</v>
      </c>
      <c r="C16" s="12" t="s">
        <v>91</v>
      </c>
      <c r="D16" s="12" t="s">
        <v>167</v>
      </c>
      <c r="E16" s="12" t="s">
        <v>168</v>
      </c>
      <c r="F16" s="12" t="s">
        <v>169</v>
      </c>
      <c r="G16" s="12" t="s">
        <v>170</v>
      </c>
      <c r="H16" s="12" t="s">
        <v>171</v>
      </c>
      <c r="I16" s="12" t="s">
        <v>41</v>
      </c>
      <c r="J16" s="12" t="s">
        <v>42</v>
      </c>
      <c r="K16" s="12" t="s">
        <v>43</v>
      </c>
      <c r="L16" s="12" t="s">
        <v>44</v>
      </c>
      <c r="M16" s="12" t="s">
        <v>45</v>
      </c>
      <c r="N16" s="12" t="s">
        <v>172</v>
      </c>
      <c r="O16" s="12" t="s">
        <v>173</v>
      </c>
      <c r="P16" s="13" t="str">
        <f aca="false">IF(O16="","none",IF(SUMPRODUCT(ISNUMBER(SEARCH('Safety functions'!$A$2:$A$200,O16))*('Safety functions'!$A$2:$A$200&lt;&gt;""))=LEN(O16)-LEN(SUBSTITUTE(O16,",",""))+1,"OK","check"))</f>
        <v>OK</v>
      </c>
    </row>
    <row r="17" customFormat="false" ht="74.25" hidden="false" customHeight="true" outlineLevel="0" collapsed="false">
      <c r="A17" s="11" t="s">
        <v>174</v>
      </c>
      <c r="B17" s="12" t="s">
        <v>166</v>
      </c>
      <c r="C17" s="12" t="s">
        <v>91</v>
      </c>
      <c r="D17" s="12" t="s">
        <v>175</v>
      </c>
      <c r="E17" s="12" t="s">
        <v>176</v>
      </c>
      <c r="F17" s="12" t="s">
        <v>177</v>
      </c>
      <c r="G17" s="12" t="s">
        <v>178</v>
      </c>
      <c r="H17" s="12" t="s">
        <v>179</v>
      </c>
      <c r="I17" s="12" t="s">
        <v>41</v>
      </c>
      <c r="J17" s="12" t="s">
        <v>42</v>
      </c>
      <c r="K17" s="12" t="s">
        <v>43</v>
      </c>
      <c r="L17" s="12" t="s">
        <v>44</v>
      </c>
      <c r="M17" s="12" t="s">
        <v>45</v>
      </c>
      <c r="N17" s="12" t="s">
        <v>180</v>
      </c>
      <c r="O17" s="12" t="s">
        <v>181</v>
      </c>
      <c r="P17" s="13" t="str">
        <f aca="false">IF(O17="","none",IF(SUMPRODUCT(ISNUMBER(SEARCH('Safety functions'!$A$2:$A$200,O17))*('Safety functions'!$A$2:$A$200&lt;&gt;""))=LEN(O17)-LEN(SUBSTITUTE(O17,",",""))+1,"OK","check"))</f>
        <v>OK</v>
      </c>
    </row>
    <row r="18" customFormat="false" ht="74.25" hidden="false" customHeight="true" outlineLevel="0" collapsed="false">
      <c r="A18" s="11" t="s">
        <v>182</v>
      </c>
      <c r="B18" s="12" t="s">
        <v>166</v>
      </c>
      <c r="C18" s="12" t="s">
        <v>57</v>
      </c>
      <c r="D18" s="12" t="s">
        <v>101</v>
      </c>
      <c r="E18" s="12" t="s">
        <v>183</v>
      </c>
      <c r="F18" s="12" t="s">
        <v>184</v>
      </c>
      <c r="G18" s="12" t="s">
        <v>185</v>
      </c>
      <c r="H18" s="12" t="s">
        <v>186</v>
      </c>
      <c r="I18" s="12" t="s">
        <v>41</v>
      </c>
      <c r="J18" s="12" t="s">
        <v>42</v>
      </c>
      <c r="K18" s="12" t="s">
        <v>43</v>
      </c>
      <c r="L18" s="12" t="s">
        <v>44</v>
      </c>
      <c r="M18" s="12" t="s">
        <v>45</v>
      </c>
      <c r="N18" s="12" t="s">
        <v>187</v>
      </c>
      <c r="O18" s="12" t="s">
        <v>188</v>
      </c>
      <c r="P18" s="13" t="str">
        <f aca="false">IF(O18="","none",IF(SUMPRODUCT(ISNUMBER(SEARCH('Safety functions'!$A$2:$A$200,O18))*('Safety functions'!$A$2:$A$200&lt;&gt;""))=LEN(O18)-LEN(SUBSTITUTE(O18,",",""))+1,"OK","check"))</f>
        <v>OK</v>
      </c>
    </row>
    <row r="19" customFormat="false" ht="53.25" hidden="false" customHeight="true" outlineLevel="0" collapsed="false">
      <c r="A19" s="11" t="s">
        <v>189</v>
      </c>
      <c r="B19" s="12" t="s">
        <v>166</v>
      </c>
      <c r="C19" s="12" t="s">
        <v>91</v>
      </c>
      <c r="D19" s="12" t="s">
        <v>101</v>
      </c>
      <c r="E19" s="12" t="s">
        <v>190</v>
      </c>
      <c r="F19" s="12" t="s">
        <v>191</v>
      </c>
      <c r="G19" s="12" t="s">
        <v>192</v>
      </c>
      <c r="H19" s="12" t="s">
        <v>193</v>
      </c>
      <c r="I19" s="12" t="s">
        <v>194</v>
      </c>
      <c r="J19" s="12" t="s">
        <v>195</v>
      </c>
      <c r="K19" s="12" t="s">
        <v>108</v>
      </c>
      <c r="L19" s="12" t="s">
        <v>44</v>
      </c>
      <c r="M19" s="12" t="s">
        <v>196</v>
      </c>
      <c r="N19" s="12" t="s">
        <v>197</v>
      </c>
      <c r="O19" s="12" t="s">
        <v>198</v>
      </c>
      <c r="P19" s="13" t="str">
        <f aca="false">IF(O19="","none",IF(SUMPRODUCT(ISNUMBER(SEARCH('Safety functions'!$A$2:$A$200,O19))*('Safety functions'!$A$2:$A$200&lt;&gt;""))=LEN(O19)-LEN(SUBSTITUTE(O19,",",""))+1,"OK","check"))</f>
        <v>OK</v>
      </c>
    </row>
    <row r="20" customFormat="false" ht="84.75" hidden="false" customHeight="true" outlineLevel="0" collapsed="false">
      <c r="A20" s="11" t="s">
        <v>199</v>
      </c>
      <c r="B20" s="12" t="s">
        <v>200</v>
      </c>
      <c r="C20" s="12" t="s">
        <v>201</v>
      </c>
      <c r="D20" s="12" t="s">
        <v>202</v>
      </c>
      <c r="E20" s="12" t="s">
        <v>203</v>
      </c>
      <c r="F20" s="12" t="s">
        <v>204</v>
      </c>
      <c r="G20" s="12" t="s">
        <v>205</v>
      </c>
      <c r="H20" s="12" t="s">
        <v>206</v>
      </c>
      <c r="I20" s="12" t="s">
        <v>207</v>
      </c>
      <c r="J20" s="12" t="s">
        <v>208</v>
      </c>
      <c r="K20" s="12" t="s">
        <v>209</v>
      </c>
      <c r="L20" s="12" t="s">
        <v>44</v>
      </c>
      <c r="M20" s="12" t="s">
        <v>210</v>
      </c>
      <c r="N20" s="12" t="s">
        <v>211</v>
      </c>
      <c r="O20" s="12" t="s">
        <v>212</v>
      </c>
      <c r="P20" s="13" t="str">
        <f aca="false">IF(O20="","none",IF(SUMPRODUCT(ISNUMBER(SEARCH('Safety functions'!$A$2:$A$200,O20))*('Safety functions'!$A$2:$A$200&lt;&gt;""))=LEN(O20)-LEN(SUBSTITUTE(O20,",",""))+1,"OK","check"))</f>
        <v>OK</v>
      </c>
    </row>
    <row r="21" customFormat="false" ht="53.25" hidden="false" customHeight="true" outlineLevel="0" collapsed="false">
      <c r="A21" s="11" t="s">
        <v>213</v>
      </c>
      <c r="B21" s="12" t="s">
        <v>200</v>
      </c>
      <c r="C21" s="12" t="s">
        <v>201</v>
      </c>
      <c r="D21" s="12" t="s">
        <v>202</v>
      </c>
      <c r="E21" s="12" t="s">
        <v>214</v>
      </c>
      <c r="F21" s="12" t="s">
        <v>215</v>
      </c>
      <c r="G21" s="12" t="s">
        <v>216</v>
      </c>
      <c r="H21" s="12" t="s">
        <v>217</v>
      </c>
      <c r="I21" s="12" t="s">
        <v>218</v>
      </c>
      <c r="J21" s="12" t="s">
        <v>219</v>
      </c>
      <c r="K21" s="12" t="s">
        <v>108</v>
      </c>
      <c r="L21" s="12" t="s">
        <v>220</v>
      </c>
      <c r="M21" s="12" t="s">
        <v>221</v>
      </c>
      <c r="N21" s="12" t="s">
        <v>222</v>
      </c>
      <c r="O21" s="12" t="s">
        <v>223</v>
      </c>
      <c r="P21" s="13" t="str">
        <f aca="false">IF(O21="","none",IF(SUMPRODUCT(ISNUMBER(SEARCH('Safety functions'!$A$2:$A$200,O21))*('Safety functions'!$A$2:$A$200&lt;&gt;""))=LEN(O21)-LEN(SUBSTITUTE(O21,",",""))+1,"OK","check"))</f>
        <v>OK</v>
      </c>
    </row>
    <row r="22" customFormat="false" ht="32.25" hidden="false" customHeight="true" outlineLevel="0" collapsed="false">
      <c r="A22" s="11" t="s">
        <v>224</v>
      </c>
      <c r="B22" s="12" t="s">
        <v>200</v>
      </c>
      <c r="C22" s="12" t="s">
        <v>225</v>
      </c>
      <c r="D22" s="12" t="s">
        <v>226</v>
      </c>
      <c r="E22" s="12" t="s">
        <v>227</v>
      </c>
      <c r="F22" s="12" t="s">
        <v>228</v>
      </c>
      <c r="G22" s="12" t="s">
        <v>229</v>
      </c>
      <c r="H22" s="12" t="s">
        <v>230</v>
      </c>
      <c r="I22" s="12" t="s">
        <v>231</v>
      </c>
      <c r="J22" s="12" t="s">
        <v>232</v>
      </c>
      <c r="K22" s="12" t="s">
        <v>233</v>
      </c>
      <c r="L22" s="12" t="s">
        <v>220</v>
      </c>
      <c r="M22" s="12" t="s">
        <v>234</v>
      </c>
      <c r="N22" s="12" t="s">
        <v>235</v>
      </c>
      <c r="O22" s="12"/>
      <c r="P22" s="13" t="str">
        <f aca="false">IF(O22="","none",IF(SUMPRODUCT(ISNUMBER(SEARCH('Safety functions'!$A$2:$A$200,O22))*('Safety functions'!$A$2:$A$200&lt;&gt;""))=LEN(O22)-LEN(SUBSTITUTE(O22,",",""))+1,"OK","check"))</f>
        <v>none</v>
      </c>
    </row>
    <row r="23" customFormat="false" ht="74.25" hidden="false" customHeight="true" outlineLevel="0" collapsed="false">
      <c r="A23" s="11" t="s">
        <v>236</v>
      </c>
      <c r="B23" s="12" t="s">
        <v>237</v>
      </c>
      <c r="C23" s="12" t="s">
        <v>201</v>
      </c>
      <c r="D23" s="12" t="s">
        <v>202</v>
      </c>
      <c r="E23" s="12" t="s">
        <v>238</v>
      </c>
      <c r="F23" s="12" t="s">
        <v>239</v>
      </c>
      <c r="G23" s="12" t="s">
        <v>240</v>
      </c>
      <c r="H23" s="12" t="s">
        <v>241</v>
      </c>
      <c r="I23" s="12" t="s">
        <v>41</v>
      </c>
      <c r="J23" s="12" t="s">
        <v>42</v>
      </c>
      <c r="K23" s="12" t="s">
        <v>242</v>
      </c>
      <c r="L23" s="12" t="s">
        <v>44</v>
      </c>
      <c r="M23" s="12" t="s">
        <v>45</v>
      </c>
      <c r="N23" s="12" t="s">
        <v>243</v>
      </c>
      <c r="O23" s="12" t="s">
        <v>244</v>
      </c>
      <c r="P23" s="13" t="str">
        <f aca="false">IF(O23="","none",IF(SUMPRODUCT(ISNUMBER(SEARCH('Safety functions'!$A$2:$A$200,O23))*('Safety functions'!$A$2:$A$200&lt;&gt;""))=LEN(O23)-LEN(SUBSTITUTE(O23,",",""))+1,"OK","check"))</f>
        <v>OK</v>
      </c>
    </row>
    <row r="24" customFormat="false" ht="53.25" hidden="false" customHeight="true" outlineLevel="0" collapsed="false">
      <c r="A24" s="11" t="s">
        <v>245</v>
      </c>
      <c r="B24" s="12" t="s">
        <v>237</v>
      </c>
      <c r="C24" s="12" t="s">
        <v>201</v>
      </c>
      <c r="D24" s="12" t="s">
        <v>246</v>
      </c>
      <c r="E24" s="12" t="s">
        <v>247</v>
      </c>
      <c r="F24" s="12" t="s">
        <v>248</v>
      </c>
      <c r="G24" s="12" t="s">
        <v>249</v>
      </c>
      <c r="H24" s="12" t="s">
        <v>250</v>
      </c>
      <c r="I24" s="12" t="s">
        <v>251</v>
      </c>
      <c r="J24" s="12" t="s">
        <v>252</v>
      </c>
      <c r="K24" s="12" t="s">
        <v>253</v>
      </c>
      <c r="L24" s="12" t="s">
        <v>134</v>
      </c>
      <c r="M24" s="12" t="s">
        <v>254</v>
      </c>
      <c r="N24" s="12" t="s">
        <v>255</v>
      </c>
      <c r="O24" s="12" t="s">
        <v>256</v>
      </c>
      <c r="P24" s="13" t="str">
        <f aca="false">IF(O24="","none",IF(SUMPRODUCT(ISNUMBER(SEARCH('Safety functions'!$A$2:$A$200,O24))*('Safety functions'!$A$2:$A$200&lt;&gt;""))=LEN(O24)-LEN(SUBSTITUTE(O24,",",""))+1,"OK","check"))</f>
        <v>OK</v>
      </c>
    </row>
    <row r="25" customFormat="false" ht="42.75" hidden="false" customHeight="true" outlineLevel="0" collapsed="false">
      <c r="A25" s="11" t="s">
        <v>257</v>
      </c>
      <c r="B25" s="12" t="s">
        <v>237</v>
      </c>
      <c r="C25" s="12" t="s">
        <v>201</v>
      </c>
      <c r="D25" s="12" t="s">
        <v>258</v>
      </c>
      <c r="E25" s="12" t="s">
        <v>259</v>
      </c>
      <c r="F25" s="12" t="s">
        <v>260</v>
      </c>
      <c r="G25" s="12" t="s">
        <v>261</v>
      </c>
      <c r="H25" s="12" t="s">
        <v>262</v>
      </c>
      <c r="I25" s="12" t="s">
        <v>263</v>
      </c>
      <c r="J25" s="12" t="s">
        <v>264</v>
      </c>
      <c r="K25" s="12" t="s">
        <v>265</v>
      </c>
      <c r="L25" s="12" t="s">
        <v>134</v>
      </c>
      <c r="M25" s="12" t="s">
        <v>266</v>
      </c>
      <c r="N25" s="12" t="s">
        <v>267</v>
      </c>
      <c r="O25" s="12"/>
      <c r="P25" s="13" t="str">
        <f aca="false">IF(O25="","none",IF(SUMPRODUCT(ISNUMBER(SEARCH('Safety functions'!$A$2:$A$200,O25))*('Safety functions'!$A$2:$A$200&lt;&gt;""))=LEN(O25)-LEN(SUBSTITUTE(O25,",",""))+1,"OK","check"))</f>
        <v>none</v>
      </c>
    </row>
    <row r="26" customFormat="false" ht="42.75" hidden="false" customHeight="true" outlineLevel="0" collapsed="false">
      <c r="A26" s="11" t="s">
        <v>268</v>
      </c>
      <c r="B26" s="12" t="s">
        <v>237</v>
      </c>
      <c r="C26" s="12" t="s">
        <v>201</v>
      </c>
      <c r="D26" s="12" t="s">
        <v>101</v>
      </c>
      <c r="E26" s="12" t="s">
        <v>269</v>
      </c>
      <c r="F26" s="12" t="s">
        <v>270</v>
      </c>
      <c r="G26" s="12" t="s">
        <v>271</v>
      </c>
      <c r="H26" s="12" t="s">
        <v>272</v>
      </c>
      <c r="I26" s="12" t="s">
        <v>273</v>
      </c>
      <c r="J26" s="12" t="s">
        <v>274</v>
      </c>
      <c r="K26" s="12" t="s">
        <v>121</v>
      </c>
      <c r="L26" s="12" t="s">
        <v>44</v>
      </c>
      <c r="M26" s="12" t="s">
        <v>275</v>
      </c>
      <c r="N26" s="12" t="s">
        <v>276</v>
      </c>
      <c r="O26" s="12" t="s">
        <v>277</v>
      </c>
      <c r="P26" s="13" t="str">
        <f aca="false">IF(O26="","none",IF(SUMPRODUCT(ISNUMBER(SEARCH('Safety functions'!$A$2:$A$200,O26))*('Safety functions'!$A$2:$A$200&lt;&gt;""))=LEN(O26)-LEN(SUBSTITUTE(O26,",",""))+1,"OK","check"))</f>
        <v>OK</v>
      </c>
    </row>
    <row r="27" customFormat="false" ht="42.75" hidden="false" customHeight="true" outlineLevel="0" collapsed="false">
      <c r="A27" s="11" t="s">
        <v>278</v>
      </c>
      <c r="B27" s="12" t="s">
        <v>237</v>
      </c>
      <c r="C27" s="12" t="s">
        <v>201</v>
      </c>
      <c r="D27" s="12" t="s">
        <v>101</v>
      </c>
      <c r="E27" s="12" t="s">
        <v>279</v>
      </c>
      <c r="F27" s="12" t="s">
        <v>280</v>
      </c>
      <c r="G27" s="12" t="s">
        <v>281</v>
      </c>
      <c r="H27" s="12" t="s">
        <v>282</v>
      </c>
      <c r="I27" s="12" t="s">
        <v>283</v>
      </c>
      <c r="J27" s="12" t="s">
        <v>284</v>
      </c>
      <c r="K27" s="12" t="s">
        <v>121</v>
      </c>
      <c r="L27" s="12" t="s">
        <v>44</v>
      </c>
      <c r="M27" s="12" t="s">
        <v>275</v>
      </c>
      <c r="N27" s="12" t="s">
        <v>285</v>
      </c>
      <c r="O27" s="12" t="s">
        <v>277</v>
      </c>
      <c r="P27" s="13" t="str">
        <f aca="false">IF(O27="","none",IF(SUMPRODUCT(ISNUMBER(SEARCH('Safety functions'!$A$2:$A$200,O27))*('Safety functions'!$A$2:$A$200&lt;&gt;""))=LEN(O27)-LEN(SUBSTITUTE(O27,",",""))+1,"OK","check"))</f>
        <v>OK</v>
      </c>
    </row>
    <row r="28" customFormat="false" ht="53.25" hidden="false" customHeight="true" outlineLevel="0" collapsed="false">
      <c r="A28" s="11" t="s">
        <v>286</v>
      </c>
      <c r="B28" s="12" t="s">
        <v>287</v>
      </c>
      <c r="C28" s="12" t="s">
        <v>149</v>
      </c>
      <c r="D28" s="12" t="s">
        <v>288</v>
      </c>
      <c r="E28" s="12" t="s">
        <v>289</v>
      </c>
      <c r="F28" s="12" t="s">
        <v>290</v>
      </c>
      <c r="G28" s="12" t="s">
        <v>291</v>
      </c>
      <c r="H28" s="12" t="s">
        <v>292</v>
      </c>
      <c r="I28" s="12" t="s">
        <v>293</v>
      </c>
      <c r="J28" s="12" t="s">
        <v>294</v>
      </c>
      <c r="K28" s="12" t="s">
        <v>295</v>
      </c>
      <c r="L28" s="12" t="s">
        <v>296</v>
      </c>
      <c r="M28" s="12" t="s">
        <v>297</v>
      </c>
      <c r="N28" s="12" t="s">
        <v>298</v>
      </c>
      <c r="O28" s="12" t="s">
        <v>299</v>
      </c>
      <c r="P28" s="13" t="str">
        <f aca="false">IF(O28="","none",IF(SUMPRODUCT(ISNUMBER(SEARCH('Safety functions'!$A$2:$A$200,O28))*('Safety functions'!$A$2:$A$200&lt;&gt;""))=LEN(O28)-LEN(SUBSTITUTE(O28,",",""))+1,"OK","check"))</f>
        <v>OK</v>
      </c>
    </row>
    <row r="29" customFormat="false" ht="42.75" hidden="false" customHeight="true" outlineLevel="0" collapsed="false">
      <c r="A29" s="11" t="s">
        <v>300</v>
      </c>
      <c r="B29" s="12" t="s">
        <v>287</v>
      </c>
      <c r="C29" s="12" t="s">
        <v>149</v>
      </c>
      <c r="D29" s="12" t="s">
        <v>301</v>
      </c>
      <c r="E29" s="12" t="s">
        <v>302</v>
      </c>
      <c r="F29" s="12" t="s">
        <v>303</v>
      </c>
      <c r="G29" s="12" t="s">
        <v>304</v>
      </c>
      <c r="H29" s="12" t="s">
        <v>305</v>
      </c>
      <c r="I29" s="12" t="s">
        <v>306</v>
      </c>
      <c r="J29" s="12" t="s">
        <v>307</v>
      </c>
      <c r="K29" s="12" t="s">
        <v>121</v>
      </c>
      <c r="L29" s="12" t="s">
        <v>308</v>
      </c>
      <c r="M29" s="12" t="s">
        <v>309</v>
      </c>
      <c r="N29" s="12" t="s">
        <v>310</v>
      </c>
      <c r="O29" s="12" t="s">
        <v>164</v>
      </c>
      <c r="P29" s="13" t="str">
        <f aca="false">IF(O29="","none",IF(SUMPRODUCT(ISNUMBER(SEARCH('Safety functions'!$A$2:$A$200,O29))*('Safety functions'!$A$2:$A$200&lt;&gt;""))=LEN(O29)-LEN(SUBSTITUTE(O29,",",""))+1,"OK","check"))</f>
        <v>OK</v>
      </c>
    </row>
    <row r="30" customFormat="false" ht="32.25" hidden="false" customHeight="true" outlineLevel="0" collapsed="false">
      <c r="A30" s="11" t="s">
        <v>311</v>
      </c>
      <c r="B30" s="12" t="s">
        <v>287</v>
      </c>
      <c r="C30" s="12" t="s">
        <v>91</v>
      </c>
      <c r="D30" s="12" t="s">
        <v>202</v>
      </c>
      <c r="E30" s="12" t="s">
        <v>312</v>
      </c>
      <c r="F30" s="12" t="s">
        <v>313</v>
      </c>
      <c r="G30" s="12" t="s">
        <v>314</v>
      </c>
      <c r="H30" s="12" t="s">
        <v>315</v>
      </c>
      <c r="I30" s="12" t="s">
        <v>316</v>
      </c>
      <c r="J30" s="12" t="s">
        <v>317</v>
      </c>
      <c r="K30" s="12" t="s">
        <v>121</v>
      </c>
      <c r="L30" s="12" t="s">
        <v>318</v>
      </c>
      <c r="M30" s="12" t="s">
        <v>319</v>
      </c>
      <c r="N30" s="12" t="s">
        <v>320</v>
      </c>
      <c r="O30" s="12" t="s">
        <v>321</v>
      </c>
      <c r="P30" s="13" t="str">
        <f aca="false">IF(O30="","none",IF(SUMPRODUCT(ISNUMBER(SEARCH('Safety functions'!$A$2:$A$200,O30))*('Safety functions'!$A$2:$A$200&lt;&gt;""))=LEN(O30)-LEN(SUBSTITUTE(O30,",",""))+1,"OK","check"))</f>
        <v>OK</v>
      </c>
    </row>
    <row r="31" customFormat="false" ht="53.25" hidden="false" customHeight="true" outlineLevel="0" collapsed="false">
      <c r="A31" s="11" t="s">
        <v>322</v>
      </c>
      <c r="B31" s="12" t="s">
        <v>323</v>
      </c>
      <c r="C31" s="12" t="s">
        <v>113</v>
      </c>
      <c r="D31" s="12" t="s">
        <v>114</v>
      </c>
      <c r="E31" s="12" t="s">
        <v>324</v>
      </c>
      <c r="F31" s="12" t="s">
        <v>325</v>
      </c>
      <c r="G31" s="12" t="s">
        <v>326</v>
      </c>
      <c r="H31" s="12" t="s">
        <v>327</v>
      </c>
      <c r="I31" s="12" t="s">
        <v>328</v>
      </c>
      <c r="J31" s="12" t="s">
        <v>329</v>
      </c>
      <c r="K31" s="12" t="s">
        <v>121</v>
      </c>
      <c r="L31" s="12" t="s">
        <v>134</v>
      </c>
      <c r="M31" s="12" t="s">
        <v>330</v>
      </c>
      <c r="N31" s="12" t="s">
        <v>331</v>
      </c>
      <c r="O31" s="12" t="s">
        <v>277</v>
      </c>
      <c r="P31" s="13" t="str">
        <f aca="false">IF(O31="","none",IF(SUMPRODUCT(ISNUMBER(SEARCH('Safety functions'!$A$2:$A$200,O31))*('Safety functions'!$A$2:$A$200&lt;&gt;""))=LEN(O31)-LEN(SUBSTITUTE(O31,",",""))+1,"OK","check"))</f>
        <v>OK</v>
      </c>
    </row>
    <row r="32" customFormat="false" ht="42.75" hidden="false" customHeight="true" outlineLevel="0" collapsed="false">
      <c r="A32" s="11" t="s">
        <v>332</v>
      </c>
      <c r="B32" s="12" t="s">
        <v>323</v>
      </c>
      <c r="C32" s="12" t="s">
        <v>225</v>
      </c>
      <c r="D32" s="12" t="s">
        <v>333</v>
      </c>
      <c r="E32" s="12" t="s">
        <v>334</v>
      </c>
      <c r="F32" s="12" t="s">
        <v>335</v>
      </c>
      <c r="G32" s="12" t="s">
        <v>336</v>
      </c>
      <c r="H32" s="12" t="s">
        <v>337</v>
      </c>
      <c r="I32" s="12" t="s">
        <v>338</v>
      </c>
      <c r="J32" s="12" t="s">
        <v>339</v>
      </c>
      <c r="K32" s="12" t="s">
        <v>121</v>
      </c>
      <c r="L32" s="12" t="s">
        <v>134</v>
      </c>
      <c r="M32" s="12" t="s">
        <v>135</v>
      </c>
      <c r="N32" s="12" t="s">
        <v>235</v>
      </c>
      <c r="O32" s="12"/>
      <c r="P32" s="13" t="str">
        <f aca="false">IF(O32="","none",IF(SUMPRODUCT(ISNUMBER(SEARCH('Safety functions'!$A$2:$A$200,O32))*('Safety functions'!$A$2:$A$200&lt;&gt;""))=LEN(O32)-LEN(SUBSTITUTE(O32,",",""))+1,"OK","check"))</f>
        <v>none</v>
      </c>
    </row>
    <row r="33" customFormat="false" ht="32.25" hidden="false" customHeight="true" outlineLevel="0" collapsed="false">
      <c r="A33" s="11" t="s">
        <v>340</v>
      </c>
      <c r="B33" s="12" t="s">
        <v>323</v>
      </c>
      <c r="C33" s="12" t="s">
        <v>35</v>
      </c>
      <c r="D33" s="12" t="s">
        <v>333</v>
      </c>
      <c r="E33" s="12" t="s">
        <v>341</v>
      </c>
      <c r="F33" s="12" t="s">
        <v>342</v>
      </c>
      <c r="G33" s="12" t="s">
        <v>343</v>
      </c>
      <c r="H33" s="12" t="s">
        <v>344</v>
      </c>
      <c r="I33" s="12" t="s">
        <v>345</v>
      </c>
      <c r="J33" s="12" t="s">
        <v>346</v>
      </c>
      <c r="K33" s="12" t="s">
        <v>121</v>
      </c>
      <c r="L33" s="12" t="s">
        <v>134</v>
      </c>
      <c r="M33" s="12" t="s">
        <v>135</v>
      </c>
      <c r="N33" s="12" t="s">
        <v>347</v>
      </c>
      <c r="O33" s="12" t="s">
        <v>348</v>
      </c>
      <c r="P33" s="13" t="str">
        <f aca="false">IF(O33="","none",IF(SUMPRODUCT(ISNUMBER(SEARCH('Safety functions'!$A$2:$A$200,O33))*('Safety functions'!$A$2:$A$200&lt;&gt;""))=LEN(O33)-LEN(SUBSTITUTE(O33,",",""))+1,"OK","check"))</f>
        <v>OK</v>
      </c>
    </row>
    <row r="34" customFormat="false" ht="32.25" hidden="false" customHeight="true" outlineLevel="0" collapsed="false">
      <c r="A34" s="11" t="s">
        <v>349</v>
      </c>
      <c r="B34" s="12" t="s">
        <v>323</v>
      </c>
      <c r="C34" s="12" t="s">
        <v>225</v>
      </c>
      <c r="D34" s="12" t="s">
        <v>350</v>
      </c>
      <c r="E34" s="12" t="s">
        <v>351</v>
      </c>
      <c r="F34" s="12" t="s">
        <v>352</v>
      </c>
      <c r="G34" s="12" t="s">
        <v>353</v>
      </c>
      <c r="H34" s="12" t="s">
        <v>354</v>
      </c>
      <c r="I34" s="12" t="s">
        <v>355</v>
      </c>
      <c r="J34" s="12" t="s">
        <v>356</v>
      </c>
      <c r="K34" s="12" t="s">
        <v>121</v>
      </c>
      <c r="L34" s="12" t="s">
        <v>122</v>
      </c>
      <c r="M34" s="12" t="s">
        <v>122</v>
      </c>
      <c r="N34" s="12" t="s">
        <v>235</v>
      </c>
      <c r="O34" s="12"/>
      <c r="P34" s="13" t="str">
        <f aca="false">IF(O34="","none",IF(SUMPRODUCT(ISNUMBER(SEARCH('Safety functions'!$A$2:$A$200,O34))*('Safety functions'!$A$2:$A$200&lt;&gt;""))=LEN(O34)-LEN(SUBSTITUTE(O34,",",""))+1,"OK","check"))</f>
        <v>none</v>
      </c>
    </row>
    <row r="35" customFormat="false" ht="32.25" hidden="false" customHeight="true" outlineLevel="0" collapsed="false">
      <c r="A35" s="11" t="s">
        <v>357</v>
      </c>
      <c r="B35" s="12" t="s">
        <v>323</v>
      </c>
      <c r="C35" s="12" t="s">
        <v>201</v>
      </c>
      <c r="D35" s="12" t="s">
        <v>202</v>
      </c>
      <c r="E35" s="12" t="s">
        <v>358</v>
      </c>
      <c r="F35" s="12" t="s">
        <v>359</v>
      </c>
      <c r="G35" s="12" t="s">
        <v>360</v>
      </c>
      <c r="H35" s="12" t="s">
        <v>361</v>
      </c>
      <c r="I35" s="12" t="s">
        <v>362</v>
      </c>
      <c r="J35" s="12" t="s">
        <v>363</v>
      </c>
      <c r="K35" s="12" t="s">
        <v>364</v>
      </c>
      <c r="L35" s="12" t="s">
        <v>134</v>
      </c>
      <c r="M35" s="12" t="s">
        <v>134</v>
      </c>
      <c r="N35" s="12" t="s">
        <v>365</v>
      </c>
      <c r="O35" s="12" t="s">
        <v>366</v>
      </c>
      <c r="P35" s="13" t="str">
        <f aca="false">IF(O35="","none",IF(SUMPRODUCT(ISNUMBER(SEARCH('Safety functions'!$A$2:$A$200,O35))*('Safety functions'!$A$2:$A$200&lt;&gt;""))=LEN(O35)-LEN(SUBSTITUTE(O35,",",""))+1,"OK","check"))</f>
        <v>OK</v>
      </c>
    </row>
    <row r="36" customFormat="false" ht="32.25" hidden="false" customHeight="true" outlineLevel="0" collapsed="false">
      <c r="A36" s="11" t="s">
        <v>367</v>
      </c>
      <c r="B36" s="12" t="s">
        <v>323</v>
      </c>
      <c r="C36" s="12" t="s">
        <v>201</v>
      </c>
      <c r="D36" s="12" t="s">
        <v>202</v>
      </c>
      <c r="E36" s="12" t="s">
        <v>368</v>
      </c>
      <c r="F36" s="12" t="s">
        <v>369</v>
      </c>
      <c r="G36" s="12" t="s">
        <v>370</v>
      </c>
      <c r="H36" s="12" t="s">
        <v>371</v>
      </c>
      <c r="I36" s="12" t="s">
        <v>372</v>
      </c>
      <c r="J36" s="12" t="s">
        <v>373</v>
      </c>
      <c r="K36" s="12" t="s">
        <v>374</v>
      </c>
      <c r="L36" s="12" t="s">
        <v>134</v>
      </c>
      <c r="M36" s="12" t="s">
        <v>330</v>
      </c>
      <c r="N36" s="12" t="s">
        <v>375</v>
      </c>
      <c r="O36" s="12" t="s">
        <v>376</v>
      </c>
      <c r="P36" s="13" t="str">
        <f aca="false">IF(O36="","none",IF(SUMPRODUCT(ISNUMBER(SEARCH('Safety functions'!$A$2:$A$200,O36))*('Safety functions'!$A$2:$A$200&lt;&gt;""))=LEN(O36)-LEN(SUBSTITUTE(O36,",",""))+1,"OK","check"))</f>
        <v>OK</v>
      </c>
    </row>
    <row r="37" customFormat="false" ht="32.25" hidden="false" customHeight="true" outlineLevel="0" collapsed="false">
      <c r="A37" s="11" t="s">
        <v>377</v>
      </c>
      <c r="B37" s="12" t="s">
        <v>378</v>
      </c>
      <c r="C37" s="12" t="s">
        <v>35</v>
      </c>
      <c r="D37" s="12" t="s">
        <v>379</v>
      </c>
      <c r="E37" s="12" t="s">
        <v>380</v>
      </c>
      <c r="F37" s="12" t="s">
        <v>381</v>
      </c>
      <c r="G37" s="12" t="s">
        <v>382</v>
      </c>
      <c r="H37" s="12" t="s">
        <v>383</v>
      </c>
      <c r="I37" s="12" t="s">
        <v>384</v>
      </c>
      <c r="J37" s="12" t="s">
        <v>385</v>
      </c>
      <c r="K37" s="12" t="s">
        <v>386</v>
      </c>
      <c r="L37" s="12" t="s">
        <v>134</v>
      </c>
      <c r="M37" s="12" t="s">
        <v>134</v>
      </c>
      <c r="N37" s="12" t="s">
        <v>387</v>
      </c>
      <c r="O37" s="12" t="s">
        <v>388</v>
      </c>
      <c r="P37" s="13" t="str">
        <f aca="false">IF(O37="","none",IF(SUMPRODUCT(ISNUMBER(SEARCH('Safety functions'!$A$2:$A$200,O37))*('Safety functions'!$A$2:$A$200&lt;&gt;""))=LEN(O37)-LEN(SUBSTITUTE(O37,",",""))+1,"OK","check"))</f>
        <v>OK</v>
      </c>
    </row>
    <row r="38" customFormat="false" ht="32.25" hidden="false" customHeight="true" outlineLevel="0" collapsed="false">
      <c r="A38" s="11" t="s">
        <v>389</v>
      </c>
      <c r="B38" s="12" t="s">
        <v>378</v>
      </c>
      <c r="C38" s="12" t="s">
        <v>35</v>
      </c>
      <c r="D38" s="12" t="s">
        <v>390</v>
      </c>
      <c r="E38" s="12" t="s">
        <v>391</v>
      </c>
      <c r="F38" s="12" t="s">
        <v>392</v>
      </c>
      <c r="G38" s="12" t="s">
        <v>393</v>
      </c>
      <c r="H38" s="12" t="s">
        <v>394</v>
      </c>
      <c r="I38" s="12" t="s">
        <v>395</v>
      </c>
      <c r="J38" s="12" t="s">
        <v>396</v>
      </c>
      <c r="K38" s="12" t="s">
        <v>397</v>
      </c>
      <c r="L38" s="12" t="s">
        <v>134</v>
      </c>
      <c r="M38" s="12" t="s">
        <v>135</v>
      </c>
      <c r="N38" s="12" t="s">
        <v>398</v>
      </c>
      <c r="O38" s="12" t="s">
        <v>399</v>
      </c>
      <c r="P38" s="13" t="str">
        <f aca="false">IF(O38="","none",IF(SUMPRODUCT(ISNUMBER(SEARCH('Safety functions'!$A$2:$A$200,O38))*('Safety functions'!$A$2:$A$200&lt;&gt;""))=LEN(O38)-LEN(SUBSTITUTE(O38,",",""))+1,"OK","check"))</f>
        <v>OK</v>
      </c>
    </row>
    <row r="39" customFormat="false" ht="42.75" hidden="false" customHeight="true" outlineLevel="0" collapsed="false">
      <c r="A39" s="11" t="s">
        <v>400</v>
      </c>
      <c r="B39" s="12" t="s">
        <v>378</v>
      </c>
      <c r="C39" s="12" t="s">
        <v>401</v>
      </c>
      <c r="D39" s="12" t="s">
        <v>402</v>
      </c>
      <c r="E39" s="12" t="s">
        <v>403</v>
      </c>
      <c r="F39" s="12" t="s">
        <v>404</v>
      </c>
      <c r="G39" s="12" t="s">
        <v>405</v>
      </c>
      <c r="H39" s="12" t="s">
        <v>406</v>
      </c>
      <c r="I39" s="12" t="s">
        <v>407</v>
      </c>
      <c r="J39" s="12" t="s">
        <v>408</v>
      </c>
      <c r="K39" s="12" t="s">
        <v>409</v>
      </c>
      <c r="L39" s="12" t="s">
        <v>122</v>
      </c>
      <c r="M39" s="12" t="s">
        <v>123</v>
      </c>
      <c r="N39" s="12" t="s">
        <v>410</v>
      </c>
      <c r="O39" s="12" t="s">
        <v>411</v>
      </c>
      <c r="P39" s="13" t="str">
        <f aca="false">IF(O39="","none",IF(SUMPRODUCT(ISNUMBER(SEARCH('Safety functions'!$A$2:$A$200,O39))*('Safety functions'!$A$2:$A$200&lt;&gt;""))=LEN(O39)-LEN(SUBSTITUTE(O39,",",""))+1,"OK","check"))</f>
        <v>OK</v>
      </c>
    </row>
    <row r="40" customFormat="false" ht="42.75" hidden="false" customHeight="true" outlineLevel="0" collapsed="false">
      <c r="A40" s="11" t="s">
        <v>412</v>
      </c>
      <c r="B40" s="12" t="s">
        <v>378</v>
      </c>
      <c r="C40" s="12" t="s">
        <v>401</v>
      </c>
      <c r="D40" s="12" t="s">
        <v>101</v>
      </c>
      <c r="E40" s="12" t="s">
        <v>413</v>
      </c>
      <c r="F40" s="12" t="s">
        <v>414</v>
      </c>
      <c r="G40" s="12" t="s">
        <v>415</v>
      </c>
      <c r="H40" s="12" t="s">
        <v>416</v>
      </c>
      <c r="I40" s="12" t="s">
        <v>417</v>
      </c>
      <c r="J40" s="12" t="s">
        <v>418</v>
      </c>
      <c r="K40" s="12" t="s">
        <v>108</v>
      </c>
      <c r="L40" s="12" t="s">
        <v>44</v>
      </c>
      <c r="M40" s="12" t="s">
        <v>419</v>
      </c>
      <c r="N40" s="12" t="s">
        <v>420</v>
      </c>
      <c r="O40" s="12" t="s">
        <v>421</v>
      </c>
      <c r="P40" s="13" t="str">
        <f aca="false">IF(O40="","none",IF(SUMPRODUCT(ISNUMBER(SEARCH('Safety functions'!$A$2:$A$200,O40))*('Safety functions'!$A$2:$A$200&lt;&gt;""))=LEN(O40)-LEN(SUBSTITUTE(O40,",",""))+1,"OK","check"))</f>
        <v>OK</v>
      </c>
    </row>
    <row r="41" customFormat="false" ht="32.25" hidden="false" customHeight="true" outlineLevel="0" collapsed="false">
      <c r="A41" s="11" t="s">
        <v>422</v>
      </c>
      <c r="B41" s="12" t="s">
        <v>378</v>
      </c>
      <c r="C41" s="12" t="s">
        <v>401</v>
      </c>
      <c r="D41" s="12" t="s">
        <v>423</v>
      </c>
      <c r="E41" s="12" t="s">
        <v>424</v>
      </c>
      <c r="F41" s="12" t="s">
        <v>425</v>
      </c>
      <c r="G41" s="12" t="s">
        <v>426</v>
      </c>
      <c r="H41" s="12" t="s">
        <v>427</v>
      </c>
      <c r="I41" s="12" t="s">
        <v>428</v>
      </c>
      <c r="J41" s="12" t="s">
        <v>429</v>
      </c>
      <c r="K41" s="12" t="s">
        <v>108</v>
      </c>
      <c r="L41" s="12" t="s">
        <v>44</v>
      </c>
      <c r="M41" s="12" t="s">
        <v>144</v>
      </c>
      <c r="N41" s="12" t="s">
        <v>430</v>
      </c>
      <c r="O41" s="12" t="s">
        <v>431</v>
      </c>
      <c r="P41" s="13" t="str">
        <f aca="false">IF(O41="","none",IF(SUMPRODUCT(ISNUMBER(SEARCH('Safety functions'!$A$2:$A$200,O41))*('Safety functions'!$A$2:$A$200&lt;&gt;""))=LEN(O41)-LEN(SUBSTITUTE(O41,",",""))+1,"OK","check"))</f>
        <v>OK</v>
      </c>
    </row>
    <row r="42" customFormat="false" ht="32.25" hidden="false" customHeight="true" outlineLevel="0" collapsed="false">
      <c r="A42" s="11" t="s">
        <v>432</v>
      </c>
      <c r="B42" s="12" t="s">
        <v>378</v>
      </c>
      <c r="C42" s="12" t="s">
        <v>401</v>
      </c>
      <c r="D42" s="12" t="s">
        <v>433</v>
      </c>
      <c r="E42" s="12" t="s">
        <v>434</v>
      </c>
      <c r="F42" s="12" t="s">
        <v>435</v>
      </c>
      <c r="G42" s="12" t="s">
        <v>436</v>
      </c>
      <c r="H42" s="12" t="s">
        <v>437</v>
      </c>
      <c r="I42" s="12" t="s">
        <v>438</v>
      </c>
      <c r="J42" s="12" t="s">
        <v>439</v>
      </c>
      <c r="K42" s="12" t="s">
        <v>121</v>
      </c>
      <c r="L42" s="12" t="s">
        <v>296</v>
      </c>
      <c r="M42" s="12" t="s">
        <v>440</v>
      </c>
      <c r="N42" s="12" t="s">
        <v>441</v>
      </c>
      <c r="O42" s="12" t="s">
        <v>442</v>
      </c>
      <c r="P42" s="13" t="str">
        <f aca="false">IF(O42="","none",IF(SUMPRODUCT(ISNUMBER(SEARCH('Safety functions'!$A$2:$A$200,O42))*('Safety functions'!$A$2:$A$200&lt;&gt;""))=LEN(O42)-LEN(SUBSTITUTE(O42,",",""))+1,"OK","check"))</f>
        <v>OK</v>
      </c>
    </row>
    <row r="43" customFormat="false" ht="42.75" hidden="false" customHeight="true" outlineLevel="0" collapsed="false">
      <c r="A43" s="11" t="s">
        <v>443</v>
      </c>
      <c r="B43" s="12" t="s">
        <v>378</v>
      </c>
      <c r="C43" s="12" t="s">
        <v>35</v>
      </c>
      <c r="D43" s="12" t="s">
        <v>101</v>
      </c>
      <c r="E43" s="12" t="s">
        <v>444</v>
      </c>
      <c r="F43" s="12" t="s">
        <v>445</v>
      </c>
      <c r="G43" s="12" t="s">
        <v>446</v>
      </c>
      <c r="H43" s="12" t="s">
        <v>447</v>
      </c>
      <c r="I43" s="12" t="s">
        <v>448</v>
      </c>
      <c r="J43" s="12" t="s">
        <v>449</v>
      </c>
      <c r="K43" s="12" t="s">
        <v>121</v>
      </c>
      <c r="L43" s="12" t="s">
        <v>44</v>
      </c>
      <c r="M43" s="12" t="s">
        <v>450</v>
      </c>
      <c r="N43" s="12" t="s">
        <v>451</v>
      </c>
      <c r="O43" s="12" t="s">
        <v>111</v>
      </c>
      <c r="P43" s="13" t="str">
        <f aca="false">IF(O43="","none",IF(SUMPRODUCT(ISNUMBER(SEARCH('Safety functions'!$A$2:$A$200,O43))*('Safety functions'!$A$2:$A$200&lt;&gt;""))=LEN(O43)-LEN(SUBSTITUTE(O43,",",""))+1,"OK","check"))</f>
        <v>OK</v>
      </c>
    </row>
    <row r="44" customFormat="false" ht="32.25" hidden="false" customHeight="true" outlineLevel="0" collapsed="false">
      <c r="A44" s="11" t="s">
        <v>452</v>
      </c>
      <c r="B44" s="12" t="s">
        <v>378</v>
      </c>
      <c r="C44" s="12" t="s">
        <v>35</v>
      </c>
      <c r="D44" s="12" t="s">
        <v>101</v>
      </c>
      <c r="E44" s="12" t="s">
        <v>453</v>
      </c>
      <c r="F44" s="12" t="s">
        <v>454</v>
      </c>
      <c r="G44" s="12" t="s">
        <v>455</v>
      </c>
      <c r="H44" s="12" t="s">
        <v>456</v>
      </c>
      <c r="I44" s="12" t="s">
        <v>457</v>
      </c>
      <c r="J44" s="12" t="s">
        <v>458</v>
      </c>
      <c r="K44" s="12" t="s">
        <v>121</v>
      </c>
      <c r="L44" s="12" t="s">
        <v>44</v>
      </c>
      <c r="M44" s="12" t="s">
        <v>44</v>
      </c>
      <c r="N44" s="12" t="s">
        <v>459</v>
      </c>
      <c r="O44" s="12" t="s">
        <v>460</v>
      </c>
      <c r="P44" s="13" t="str">
        <f aca="false">IF(O44="","none",IF(SUMPRODUCT(ISNUMBER(SEARCH('Safety functions'!$A$2:$A$200,O44))*('Safety functions'!$A$2:$A$200&lt;&gt;""))=LEN(O44)-LEN(SUBSTITUTE(O44,",",""))+1,"OK","check"))</f>
        <v>OK</v>
      </c>
    </row>
    <row r="45" customFormat="false" ht="74.25" hidden="false" customHeight="true" outlineLevel="0" collapsed="false">
      <c r="A45" s="11" t="s">
        <v>461</v>
      </c>
      <c r="B45" s="12" t="s">
        <v>462</v>
      </c>
      <c r="C45" s="12" t="s">
        <v>57</v>
      </c>
      <c r="D45" s="12" t="s">
        <v>463</v>
      </c>
      <c r="E45" s="12" t="s">
        <v>464</v>
      </c>
      <c r="F45" s="12" t="s">
        <v>465</v>
      </c>
      <c r="G45" s="12" t="s">
        <v>466</v>
      </c>
      <c r="H45" s="12" t="s">
        <v>467</v>
      </c>
      <c r="I45" s="12" t="s">
        <v>41</v>
      </c>
      <c r="J45" s="12" t="s">
        <v>42</v>
      </c>
      <c r="K45" s="12" t="s">
        <v>43</v>
      </c>
      <c r="L45" s="12" t="s">
        <v>44</v>
      </c>
      <c r="M45" s="12" t="s">
        <v>45</v>
      </c>
      <c r="N45" s="12" t="s">
        <v>468</v>
      </c>
      <c r="O45" s="12" t="s">
        <v>469</v>
      </c>
      <c r="P45" s="13" t="str">
        <f aca="false">IF(O45="","none",IF(SUMPRODUCT(ISNUMBER(SEARCH('Safety functions'!$A$2:$A$200,O45))*('Safety functions'!$A$2:$A$200&lt;&gt;""))=LEN(O45)-LEN(SUBSTITUTE(O45,",",""))+1,"OK","check"))</f>
        <v>OK</v>
      </c>
    </row>
    <row r="46" customFormat="false" ht="74.25" hidden="false" customHeight="true" outlineLevel="0" collapsed="false">
      <c r="A46" s="11" t="s">
        <v>470</v>
      </c>
      <c r="B46" s="12" t="s">
        <v>462</v>
      </c>
      <c r="C46" s="12" t="s">
        <v>471</v>
      </c>
      <c r="D46" s="12" t="s">
        <v>202</v>
      </c>
      <c r="E46" s="12" t="s">
        <v>472</v>
      </c>
      <c r="F46" s="12" t="s">
        <v>473</v>
      </c>
      <c r="G46" s="12" t="s">
        <v>474</v>
      </c>
      <c r="H46" s="12" t="s">
        <v>475</v>
      </c>
      <c r="I46" s="12" t="s">
        <v>41</v>
      </c>
      <c r="J46" s="12" t="s">
        <v>42</v>
      </c>
      <c r="K46" s="12" t="s">
        <v>43</v>
      </c>
      <c r="L46" s="12" t="s">
        <v>44</v>
      </c>
      <c r="M46" s="12" t="s">
        <v>45</v>
      </c>
      <c r="N46" s="12" t="s">
        <v>476</v>
      </c>
      <c r="O46" s="12" t="s">
        <v>477</v>
      </c>
      <c r="P46" s="13" t="str">
        <f aca="false">IF(O46="","none",IF(SUMPRODUCT(ISNUMBER(SEARCH('Safety functions'!$A$2:$A$200,O46))*('Safety functions'!$A$2:$A$200&lt;&gt;""))=LEN(O46)-LEN(SUBSTITUTE(O46,",",""))+1,"OK","check"))</f>
        <v>OK</v>
      </c>
    </row>
    <row r="47" customFormat="false" ht="74.25" hidden="false" customHeight="true" outlineLevel="0" collapsed="false">
      <c r="A47" s="11" t="s">
        <v>478</v>
      </c>
      <c r="B47" s="12" t="s">
        <v>462</v>
      </c>
      <c r="C47" s="12" t="s">
        <v>57</v>
      </c>
      <c r="D47" s="12" t="s">
        <v>101</v>
      </c>
      <c r="E47" s="12" t="s">
        <v>479</v>
      </c>
      <c r="F47" s="12" t="s">
        <v>480</v>
      </c>
      <c r="G47" s="12" t="s">
        <v>481</v>
      </c>
      <c r="H47" s="12" t="s">
        <v>482</v>
      </c>
      <c r="I47" s="12" t="s">
        <v>41</v>
      </c>
      <c r="J47" s="12" t="s">
        <v>42</v>
      </c>
      <c r="K47" s="12" t="s">
        <v>43</v>
      </c>
      <c r="L47" s="12" t="s">
        <v>44</v>
      </c>
      <c r="M47" s="12" t="s">
        <v>45</v>
      </c>
      <c r="N47" s="12" t="s">
        <v>483</v>
      </c>
      <c r="O47" s="12" t="s">
        <v>484</v>
      </c>
      <c r="P47" s="13" t="str">
        <f aca="false">IF(O47="","none",IF(SUMPRODUCT(ISNUMBER(SEARCH('Safety functions'!$A$2:$A$200,O47))*('Safety functions'!$A$2:$A$200&lt;&gt;""))=LEN(O47)-LEN(SUBSTITUTE(O47,",",""))+1,"OK","check"))</f>
        <v>OK</v>
      </c>
    </row>
    <row r="48" customFormat="false" ht="74.25" hidden="false" customHeight="true" outlineLevel="0" collapsed="false">
      <c r="A48" s="11" t="s">
        <v>485</v>
      </c>
      <c r="B48" s="12" t="s">
        <v>462</v>
      </c>
      <c r="C48" s="12" t="s">
        <v>35</v>
      </c>
      <c r="D48" s="12" t="s">
        <v>463</v>
      </c>
      <c r="E48" s="12" t="s">
        <v>486</v>
      </c>
      <c r="F48" s="12" t="s">
        <v>487</v>
      </c>
      <c r="G48" s="12" t="s">
        <v>488</v>
      </c>
      <c r="H48" s="12" t="s">
        <v>489</v>
      </c>
      <c r="I48" s="12" t="s">
        <v>41</v>
      </c>
      <c r="J48" s="12" t="s">
        <v>42</v>
      </c>
      <c r="K48" s="12" t="s">
        <v>43</v>
      </c>
      <c r="L48" s="12" t="s">
        <v>44</v>
      </c>
      <c r="M48" s="12" t="s">
        <v>45</v>
      </c>
      <c r="N48" s="12" t="s">
        <v>490</v>
      </c>
      <c r="O48" s="12" t="s">
        <v>491</v>
      </c>
      <c r="P48" s="13" t="str">
        <f aca="false">IF(O48="","none",IF(SUMPRODUCT(ISNUMBER(SEARCH('Safety functions'!$A$2:$A$200,O48))*('Safety functions'!$A$2:$A$200&lt;&gt;""))=LEN(O48)-LEN(SUBSTITUTE(O48,",",""))+1,"OK","check"))</f>
        <v>OK</v>
      </c>
    </row>
    <row r="49" customFormat="false" ht="84.75" hidden="false" customHeight="true" outlineLevel="0" collapsed="false">
      <c r="A49" s="11" t="s">
        <v>492</v>
      </c>
      <c r="B49" s="12" t="s">
        <v>493</v>
      </c>
      <c r="C49" s="12" t="s">
        <v>494</v>
      </c>
      <c r="D49" s="12" t="s">
        <v>495</v>
      </c>
      <c r="E49" s="12" t="s">
        <v>496</v>
      </c>
      <c r="F49" s="12" t="s">
        <v>497</v>
      </c>
      <c r="G49" s="12" t="s">
        <v>498</v>
      </c>
      <c r="H49" s="12" t="s">
        <v>499</v>
      </c>
      <c r="I49" s="12" t="s">
        <v>500</v>
      </c>
      <c r="J49" s="12" t="s">
        <v>42</v>
      </c>
      <c r="K49" s="12" t="s">
        <v>43</v>
      </c>
      <c r="L49" s="12" t="s">
        <v>44</v>
      </c>
      <c r="M49" s="12" t="s">
        <v>45</v>
      </c>
      <c r="N49" s="12" t="s">
        <v>501</v>
      </c>
      <c r="O49" s="12" t="s">
        <v>502</v>
      </c>
      <c r="P49" s="13" t="str">
        <f aca="false">IF(O49="","none",IF(SUMPRODUCT(ISNUMBER(SEARCH('Safety functions'!$A$2:$A$200,O49))*('Safety functions'!$A$2:$A$200&lt;&gt;""))=LEN(O49)-LEN(SUBSTITUTE(O49,",",""))+1,"OK","check"))</f>
        <v>OK</v>
      </c>
    </row>
    <row r="50" customFormat="false" ht="32.25" hidden="false" customHeight="true" outlineLevel="0" collapsed="false">
      <c r="A50" s="11" t="s">
        <v>503</v>
      </c>
      <c r="B50" s="12" t="s">
        <v>493</v>
      </c>
      <c r="C50" s="12" t="s">
        <v>494</v>
      </c>
      <c r="D50" s="12" t="s">
        <v>504</v>
      </c>
      <c r="E50" s="12" t="s">
        <v>505</v>
      </c>
      <c r="F50" s="12" t="s">
        <v>506</v>
      </c>
      <c r="G50" s="12" t="s">
        <v>507</v>
      </c>
      <c r="H50" s="12" t="s">
        <v>508</v>
      </c>
      <c r="I50" s="12" t="s">
        <v>509</v>
      </c>
      <c r="J50" s="12" t="s">
        <v>510</v>
      </c>
      <c r="K50" s="12" t="s">
        <v>121</v>
      </c>
      <c r="L50" s="12" t="s">
        <v>318</v>
      </c>
      <c r="M50" s="12" t="s">
        <v>511</v>
      </c>
      <c r="N50" s="12" t="s">
        <v>512</v>
      </c>
      <c r="O50" s="12" t="s">
        <v>513</v>
      </c>
      <c r="P50" s="13" t="str">
        <f aca="false">IF(O50="","none",IF(SUMPRODUCT(ISNUMBER(SEARCH('Safety functions'!$A$2:$A$200,O50))*('Safety functions'!$A$2:$A$200&lt;&gt;""))=LEN(O50)-LEN(SUBSTITUTE(O50,",",""))+1,"OK","check"))</f>
        <v>OK</v>
      </c>
    </row>
    <row r="51" customFormat="false" ht="32.25" hidden="false" customHeight="true" outlineLevel="0" collapsed="false">
      <c r="A51" s="11" t="s">
        <v>514</v>
      </c>
      <c r="B51" s="12" t="s">
        <v>493</v>
      </c>
      <c r="C51" s="12" t="s">
        <v>494</v>
      </c>
      <c r="D51" s="12" t="s">
        <v>101</v>
      </c>
      <c r="E51" s="12" t="s">
        <v>515</v>
      </c>
      <c r="F51" s="12" t="s">
        <v>516</v>
      </c>
      <c r="G51" s="12" t="s">
        <v>517</v>
      </c>
      <c r="H51" s="12" t="s">
        <v>518</v>
      </c>
      <c r="I51" s="12" t="s">
        <v>519</v>
      </c>
      <c r="J51" s="12" t="s">
        <v>520</v>
      </c>
      <c r="K51" s="12" t="s">
        <v>521</v>
      </c>
      <c r="L51" s="12" t="s">
        <v>296</v>
      </c>
      <c r="M51" s="12" t="s">
        <v>440</v>
      </c>
      <c r="N51" s="12" t="s">
        <v>522</v>
      </c>
      <c r="O51" s="12" t="s">
        <v>523</v>
      </c>
      <c r="P51" s="13" t="str">
        <f aca="false">IF(O51="","none",IF(SUMPRODUCT(ISNUMBER(SEARCH('Safety functions'!$A$2:$A$200,O51))*('Safety functions'!$A$2:$A$200&lt;&gt;""))=LEN(O51)-LEN(SUBSTITUTE(O51,",",""))+1,"OK","check"))</f>
        <v>OK</v>
      </c>
    </row>
    <row r="52" customFormat="false" ht="74.25" hidden="false" customHeight="true" outlineLevel="0" collapsed="false">
      <c r="A52" s="11" t="s">
        <v>524</v>
      </c>
      <c r="B52" s="12" t="s">
        <v>525</v>
      </c>
      <c r="C52" s="12" t="s">
        <v>225</v>
      </c>
      <c r="D52" s="12" t="s">
        <v>526</v>
      </c>
      <c r="E52" s="12" t="s">
        <v>527</v>
      </c>
      <c r="F52" s="12" t="s">
        <v>528</v>
      </c>
      <c r="G52" s="12" t="s">
        <v>529</v>
      </c>
      <c r="H52" s="12" t="s">
        <v>530</v>
      </c>
      <c r="I52" s="12" t="s">
        <v>41</v>
      </c>
      <c r="J52" s="12" t="s">
        <v>531</v>
      </c>
      <c r="K52" s="12" t="s">
        <v>532</v>
      </c>
      <c r="L52" s="12" t="s">
        <v>44</v>
      </c>
      <c r="M52" s="12" t="s">
        <v>45</v>
      </c>
      <c r="N52" s="12" t="s">
        <v>533</v>
      </c>
      <c r="O52" s="12"/>
      <c r="P52" s="13" t="str">
        <f aca="false">IF(O52="","none",IF(SUMPRODUCT(ISNUMBER(SEARCH('Safety functions'!$A$2:$A$200,O52))*('Safety functions'!$A$2:$A$200&lt;&gt;""))=LEN(O52)-LEN(SUBSTITUTE(O52,",",""))+1,"OK","check"))</f>
        <v>none</v>
      </c>
    </row>
    <row r="53" customFormat="false" ht="32.25" hidden="false" customHeight="true" outlineLevel="0" collapsed="false">
      <c r="A53" s="11" t="s">
        <v>534</v>
      </c>
      <c r="B53" s="12" t="s">
        <v>525</v>
      </c>
      <c r="C53" s="12" t="s">
        <v>225</v>
      </c>
      <c r="D53" s="12" t="s">
        <v>535</v>
      </c>
      <c r="E53" s="12" t="s">
        <v>536</v>
      </c>
      <c r="F53" s="12" t="s">
        <v>537</v>
      </c>
      <c r="G53" s="12" t="s">
        <v>538</v>
      </c>
      <c r="H53" s="12" t="s">
        <v>539</v>
      </c>
      <c r="I53" s="12" t="s">
        <v>540</v>
      </c>
      <c r="J53" s="12" t="s">
        <v>541</v>
      </c>
      <c r="K53" s="12" t="s">
        <v>542</v>
      </c>
      <c r="L53" s="12" t="s">
        <v>122</v>
      </c>
      <c r="M53" s="12" t="s">
        <v>123</v>
      </c>
      <c r="N53" s="12" t="s">
        <v>543</v>
      </c>
      <c r="O53" s="12" t="s">
        <v>544</v>
      </c>
      <c r="P53" s="13" t="str">
        <f aca="false">IF(O53="","none",IF(SUMPRODUCT(ISNUMBER(SEARCH('Safety functions'!$A$2:$A$200,O53))*('Safety functions'!$A$2:$A$200&lt;&gt;""))=LEN(O53)-LEN(SUBSTITUTE(O53,",",""))+1,"OK","check"))</f>
        <v>OK</v>
      </c>
    </row>
    <row r="54" customFormat="false" ht="32.25" hidden="false" customHeight="true" outlineLevel="0" collapsed="false">
      <c r="A54" s="11" t="s">
        <v>545</v>
      </c>
      <c r="B54" s="12" t="s">
        <v>525</v>
      </c>
      <c r="C54" s="12" t="s">
        <v>225</v>
      </c>
      <c r="D54" s="12" t="s">
        <v>546</v>
      </c>
      <c r="E54" s="12" t="s">
        <v>547</v>
      </c>
      <c r="F54" s="12" t="s">
        <v>548</v>
      </c>
      <c r="G54" s="12" t="s">
        <v>549</v>
      </c>
      <c r="H54" s="12" t="s">
        <v>550</v>
      </c>
      <c r="I54" s="12" t="s">
        <v>551</v>
      </c>
      <c r="J54" s="12" t="s">
        <v>552</v>
      </c>
      <c r="K54" s="12" t="s">
        <v>121</v>
      </c>
      <c r="L54" s="12" t="s">
        <v>122</v>
      </c>
      <c r="M54" s="12" t="s">
        <v>123</v>
      </c>
      <c r="N54" s="12" t="s">
        <v>553</v>
      </c>
      <c r="O54" s="12" t="s">
        <v>554</v>
      </c>
      <c r="P54" s="13" t="str">
        <f aca="false">IF(O54="","none",IF(SUMPRODUCT(ISNUMBER(SEARCH('Safety functions'!$A$2:$A$200,O54))*('Safety functions'!$A$2:$A$200&lt;&gt;""))=LEN(O54)-LEN(SUBSTITUTE(O54,",",""))+1,"OK","check"))</f>
        <v>OK</v>
      </c>
    </row>
    <row r="55" customFormat="false" ht="42.75" hidden="false" customHeight="true" outlineLevel="0" collapsed="false">
      <c r="A55" s="11" t="s">
        <v>555</v>
      </c>
      <c r="B55" s="12" t="s">
        <v>525</v>
      </c>
      <c r="C55" s="12" t="s">
        <v>225</v>
      </c>
      <c r="D55" s="12" t="s">
        <v>556</v>
      </c>
      <c r="E55" s="12" t="s">
        <v>557</v>
      </c>
      <c r="F55" s="12" t="s">
        <v>558</v>
      </c>
      <c r="G55" s="12" t="s">
        <v>559</v>
      </c>
      <c r="H55" s="12" t="s">
        <v>560</v>
      </c>
      <c r="I55" s="12" t="s">
        <v>561</v>
      </c>
      <c r="J55" s="12" t="s">
        <v>562</v>
      </c>
      <c r="K55" s="12" t="s">
        <v>563</v>
      </c>
      <c r="L55" s="12" t="s">
        <v>44</v>
      </c>
      <c r="M55" s="12" t="s">
        <v>144</v>
      </c>
      <c r="N55" s="12" t="s">
        <v>564</v>
      </c>
      <c r="O55" s="12"/>
      <c r="P55" s="13" t="str">
        <f aca="false">IF(O55="","none",IF(SUMPRODUCT(ISNUMBER(SEARCH('Safety functions'!$A$2:$A$200,O55))*('Safety functions'!$A$2:$A$200&lt;&gt;""))=LEN(O55)-LEN(SUBSTITUTE(O55,",",""))+1,"OK","check"))</f>
        <v>none</v>
      </c>
    </row>
    <row r="56" customFormat="false" ht="32.25" hidden="false" customHeight="true" outlineLevel="0" collapsed="false">
      <c r="A56" s="11" t="s">
        <v>565</v>
      </c>
      <c r="B56" s="12" t="s">
        <v>566</v>
      </c>
      <c r="C56" s="12" t="s">
        <v>225</v>
      </c>
      <c r="D56" s="12" t="s">
        <v>567</v>
      </c>
      <c r="E56" s="12" t="s">
        <v>568</v>
      </c>
      <c r="F56" s="12" t="s">
        <v>569</v>
      </c>
      <c r="G56" s="12" t="s">
        <v>570</v>
      </c>
      <c r="H56" s="12" t="s">
        <v>571</v>
      </c>
      <c r="I56" s="12" t="s">
        <v>572</v>
      </c>
      <c r="J56" s="12" t="s">
        <v>573</v>
      </c>
      <c r="K56" s="12" t="s">
        <v>574</v>
      </c>
      <c r="L56" s="12" t="s">
        <v>44</v>
      </c>
      <c r="M56" s="12" t="s">
        <v>575</v>
      </c>
      <c r="N56" s="12" t="s">
        <v>576</v>
      </c>
      <c r="O56" s="12"/>
      <c r="P56" s="13" t="str">
        <f aca="false">IF(O56="","none",IF(SUMPRODUCT(ISNUMBER(SEARCH('Safety functions'!$A$2:$A$200,O56))*('Safety functions'!$A$2:$A$200&lt;&gt;""))=LEN(O56)-LEN(SUBSTITUTE(O56,",",""))+1,"OK","check"))</f>
        <v>none</v>
      </c>
    </row>
    <row r="57" customFormat="false" ht="21.75" hidden="false" customHeight="true" outlineLevel="0" collapsed="false">
      <c r="A57" s="11" t="s">
        <v>577</v>
      </c>
      <c r="B57" s="12" t="s">
        <v>566</v>
      </c>
      <c r="C57" s="12" t="s">
        <v>225</v>
      </c>
      <c r="D57" s="12" t="s">
        <v>578</v>
      </c>
      <c r="E57" s="12" t="s">
        <v>579</v>
      </c>
      <c r="F57" s="12" t="s">
        <v>580</v>
      </c>
      <c r="G57" s="12" t="s">
        <v>581</v>
      </c>
      <c r="H57" s="12" t="s">
        <v>582</v>
      </c>
      <c r="I57" s="12" t="s">
        <v>583</v>
      </c>
      <c r="J57" s="12" t="s">
        <v>584</v>
      </c>
      <c r="K57" s="12" t="s">
        <v>585</v>
      </c>
      <c r="L57" s="12" t="s">
        <v>134</v>
      </c>
      <c r="M57" s="12" t="s">
        <v>586</v>
      </c>
      <c r="N57" s="12" t="s">
        <v>587</v>
      </c>
      <c r="O57" s="12" t="s">
        <v>376</v>
      </c>
      <c r="P57" s="13" t="str">
        <f aca="false">IF(O57="","none",IF(SUMPRODUCT(ISNUMBER(SEARCH('Safety functions'!$A$2:$A$200,O57))*('Safety functions'!$A$2:$A$200&lt;&gt;""))=LEN(O57)-LEN(SUBSTITUTE(O57,",",""))+1,"OK","check"))</f>
        <v>OK</v>
      </c>
    </row>
  </sheetData>
  <autoFilter ref="A1:P57"/>
  <dataValidations count="3">
    <dataValidation allowBlank="true" errorStyle="stop" operator="between" showDropDown="false" showErrorMessage="false" showInputMessage="false" sqref="B2:B500" type="list">
      <formula1>Lists!$E$2:$E$60</formula1>
      <formula2>0</formula2>
    </dataValidation>
    <dataValidation allowBlank="true" errorStyle="stop" operator="between" showDropDown="false" showErrorMessage="false" showInputMessage="false" sqref="C2:C500" type="list">
      <formula1>Lists!$A$2:$A$60</formula1>
      <formula2>0</formula2>
    </dataValidation>
    <dataValidation allowBlank="true" errorStyle="stop" operator="between" showDropDown="false" showErrorMessage="false" showInputMessage="false" sqref="L2:L500" type="list">
      <formula1>Lists!$G$2:$G$60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32"/>
    <col collapsed="false" customWidth="true" hidden="false" outlineLevel="0" max="5" min="5" style="1" width="20"/>
    <col collapsed="false" customWidth="true" hidden="false" outlineLevel="0" max="6" min="6" style="1" width="30"/>
    <col collapsed="false" customWidth="true" hidden="false" outlineLevel="0" max="7" min="7" style="1" width="32"/>
    <col collapsed="false" customWidth="true" hidden="false" outlineLevel="0" max="8" min="8" style="1" width="24"/>
    <col collapsed="false" customWidth="true" hidden="false" outlineLevel="0" max="9" min="9" style="1" width="26"/>
    <col collapsed="false" customWidth="true" hidden="false" outlineLevel="0" max="10" min="10" style="1" width="16"/>
    <col collapsed="false" customWidth="true" hidden="false" outlineLevel="0" max="11" min="11" style="1" width="40"/>
    <col collapsed="false" customWidth="true" hidden="false" outlineLevel="0" max="12" min="12" style="1" width="20"/>
    <col collapsed="false" customWidth="true" hidden="false" outlineLevel="0" max="13" min="13" style="1" width="14"/>
  </cols>
  <sheetData>
    <row r="1" customFormat="false" ht="39.75" hidden="false" customHeight="true" outlineLevel="0" collapsed="false">
      <c r="A1" s="5" t="s">
        <v>588</v>
      </c>
      <c r="B1" s="5" t="s">
        <v>589</v>
      </c>
      <c r="C1" s="5" t="s">
        <v>590</v>
      </c>
      <c r="D1" s="14" t="s">
        <v>591</v>
      </c>
      <c r="E1" s="14" t="s">
        <v>592</v>
      </c>
      <c r="F1" s="7" t="s">
        <v>593</v>
      </c>
      <c r="G1" s="9" t="s">
        <v>594</v>
      </c>
      <c r="H1" s="9" t="s">
        <v>595</v>
      </c>
      <c r="I1" s="5" t="s">
        <v>596</v>
      </c>
      <c r="J1" s="5" t="s">
        <v>597</v>
      </c>
      <c r="K1" s="8" t="s">
        <v>598</v>
      </c>
      <c r="L1" s="5" t="s">
        <v>599</v>
      </c>
      <c r="M1" s="10" t="s">
        <v>600</v>
      </c>
    </row>
    <row r="2" customFormat="false" ht="42.75" hidden="false" customHeight="true" outlineLevel="0" collapsed="false">
      <c r="A2" s="11" t="s">
        <v>601</v>
      </c>
      <c r="B2" s="12" t="s">
        <v>602</v>
      </c>
      <c r="C2" s="12" t="s">
        <v>603</v>
      </c>
      <c r="D2" s="12" t="s">
        <v>604</v>
      </c>
      <c r="E2" s="12" t="s">
        <v>605</v>
      </c>
      <c r="F2" s="12" t="s">
        <v>606</v>
      </c>
      <c r="G2" s="12" t="s">
        <v>607</v>
      </c>
      <c r="H2" s="12" t="s">
        <v>608</v>
      </c>
      <c r="I2" s="12" t="s">
        <v>609</v>
      </c>
      <c r="J2" s="12" t="s">
        <v>610</v>
      </c>
      <c r="K2" s="12" t="s">
        <v>611</v>
      </c>
      <c r="L2" s="12" t="s">
        <v>612</v>
      </c>
      <c r="M2" s="13" t="n">
        <f aca="false">COUNTIF(Scenarios!$O$2:$O$500,"*"&amp;A2&amp;"*")</f>
        <v>9</v>
      </c>
    </row>
    <row r="3" customFormat="false" ht="32.25" hidden="false" customHeight="true" outlineLevel="0" collapsed="false">
      <c r="A3" s="11" t="s">
        <v>613</v>
      </c>
      <c r="B3" s="12" t="s">
        <v>614</v>
      </c>
      <c r="C3" s="12" t="s">
        <v>615</v>
      </c>
      <c r="D3" s="12" t="s">
        <v>616</v>
      </c>
      <c r="E3" s="12" t="s">
        <v>617</v>
      </c>
      <c r="F3" s="12" t="s">
        <v>618</v>
      </c>
      <c r="G3" s="12" t="s">
        <v>619</v>
      </c>
      <c r="H3" s="12" t="s">
        <v>620</v>
      </c>
      <c r="I3" s="12" t="s">
        <v>621</v>
      </c>
      <c r="J3" s="12" t="s">
        <v>622</v>
      </c>
      <c r="K3" s="12" t="s">
        <v>623</v>
      </c>
      <c r="L3" s="12" t="s">
        <v>624</v>
      </c>
      <c r="M3" s="13" t="n">
        <f aca="false">COUNTIF(Scenarios!$O$2:$O$500,"*"&amp;A3&amp;"*")</f>
        <v>2</v>
      </c>
    </row>
    <row r="4" customFormat="false" ht="21.75" hidden="false" customHeight="true" outlineLevel="0" collapsed="false">
      <c r="A4" s="11" t="s">
        <v>625</v>
      </c>
      <c r="B4" s="12" t="s">
        <v>626</v>
      </c>
      <c r="C4" s="12" t="s">
        <v>627</v>
      </c>
      <c r="D4" s="12" t="s">
        <v>628</v>
      </c>
      <c r="E4" s="12" t="s">
        <v>629</v>
      </c>
      <c r="F4" s="12" t="s">
        <v>630</v>
      </c>
      <c r="G4" s="12" t="s">
        <v>631</v>
      </c>
      <c r="H4" s="12" t="s">
        <v>632</v>
      </c>
      <c r="I4" s="12" t="s">
        <v>633</v>
      </c>
      <c r="J4" s="12" t="s">
        <v>622</v>
      </c>
      <c r="K4" s="12" t="s">
        <v>634</v>
      </c>
      <c r="L4" s="12" t="s">
        <v>635</v>
      </c>
      <c r="M4" s="13" t="n">
        <f aca="false">COUNTIF(Scenarios!$O$2:$O$500,"*"&amp;A4&amp;"*")</f>
        <v>1</v>
      </c>
    </row>
    <row r="5" customFormat="false" ht="21.75" hidden="false" customHeight="true" outlineLevel="0" collapsed="false">
      <c r="A5" s="11" t="s">
        <v>89</v>
      </c>
      <c r="B5" s="12" t="s">
        <v>636</v>
      </c>
      <c r="C5" s="12" t="s">
        <v>603</v>
      </c>
      <c r="D5" s="12" t="s">
        <v>637</v>
      </c>
      <c r="E5" s="12" t="s">
        <v>638</v>
      </c>
      <c r="F5" s="12" t="s">
        <v>639</v>
      </c>
      <c r="G5" s="12" t="s">
        <v>640</v>
      </c>
      <c r="H5" s="12" t="s">
        <v>641</v>
      </c>
      <c r="I5" s="12" t="s">
        <v>642</v>
      </c>
      <c r="J5" s="12" t="s">
        <v>622</v>
      </c>
      <c r="K5" s="12" t="s">
        <v>643</v>
      </c>
      <c r="L5" s="12" t="s">
        <v>644</v>
      </c>
      <c r="M5" s="13" t="n">
        <f aca="false">COUNTIF(Scenarios!$O$2:$O$500,"*"&amp;A5&amp;"*")</f>
        <v>2</v>
      </c>
    </row>
    <row r="6" customFormat="false" ht="21.75" hidden="false" customHeight="true" outlineLevel="0" collapsed="false">
      <c r="A6" s="11" t="s">
        <v>98</v>
      </c>
      <c r="B6" s="12" t="s">
        <v>645</v>
      </c>
      <c r="C6" s="12" t="s">
        <v>603</v>
      </c>
      <c r="D6" s="12" t="s">
        <v>646</v>
      </c>
      <c r="E6" s="12" t="s">
        <v>647</v>
      </c>
      <c r="F6" s="12" t="s">
        <v>648</v>
      </c>
      <c r="G6" s="12" t="s">
        <v>649</v>
      </c>
      <c r="H6" s="12" t="s">
        <v>650</v>
      </c>
      <c r="I6" s="12" t="s">
        <v>651</v>
      </c>
      <c r="J6" s="12" t="s">
        <v>622</v>
      </c>
      <c r="K6" s="12" t="s">
        <v>652</v>
      </c>
      <c r="L6" s="12" t="s">
        <v>644</v>
      </c>
      <c r="M6" s="13" t="n">
        <f aca="false">COUNTIF(Scenarios!$O$2:$O$500,"*"&amp;A6&amp;"*")</f>
        <v>1</v>
      </c>
    </row>
    <row r="7" customFormat="false" ht="42.75" hidden="false" customHeight="true" outlineLevel="0" collapsed="false">
      <c r="A7" s="11" t="s">
        <v>111</v>
      </c>
      <c r="B7" s="12" t="s">
        <v>653</v>
      </c>
      <c r="C7" s="12" t="s">
        <v>654</v>
      </c>
      <c r="D7" s="12" t="s">
        <v>655</v>
      </c>
      <c r="E7" s="12" t="s">
        <v>656</v>
      </c>
      <c r="F7" s="12" t="s">
        <v>657</v>
      </c>
      <c r="G7" s="12" t="s">
        <v>658</v>
      </c>
      <c r="H7" s="12" t="s">
        <v>659</v>
      </c>
      <c r="I7" s="12" t="s">
        <v>660</v>
      </c>
      <c r="J7" s="12" t="s">
        <v>661</v>
      </c>
      <c r="K7" s="12" t="s">
        <v>662</v>
      </c>
      <c r="L7" s="12" t="s">
        <v>663</v>
      </c>
      <c r="M7" s="13" t="n">
        <f aca="false">COUNTIF(Scenarios!$O$2:$O$500,"*"&amp;A7&amp;"*")</f>
        <v>4</v>
      </c>
    </row>
    <row r="8" customFormat="false" ht="21.75" hidden="false" customHeight="true" outlineLevel="0" collapsed="false">
      <c r="A8" s="11" t="s">
        <v>664</v>
      </c>
      <c r="B8" s="12" t="s">
        <v>665</v>
      </c>
      <c r="C8" s="12" t="s">
        <v>603</v>
      </c>
      <c r="D8" s="12" t="s">
        <v>666</v>
      </c>
      <c r="E8" s="12" t="s">
        <v>667</v>
      </c>
      <c r="F8" s="12" t="s">
        <v>668</v>
      </c>
      <c r="G8" s="12" t="s">
        <v>669</v>
      </c>
      <c r="H8" s="12" t="s">
        <v>670</v>
      </c>
      <c r="I8" s="12" t="s">
        <v>671</v>
      </c>
      <c r="J8" s="12" t="s">
        <v>622</v>
      </c>
      <c r="K8" s="12" t="s">
        <v>672</v>
      </c>
      <c r="L8" s="12" t="s">
        <v>673</v>
      </c>
      <c r="M8" s="13" t="n">
        <f aca="false">COUNTIF(Scenarios!$O$2:$O$500,"*"&amp;A8&amp;"*")</f>
        <v>2</v>
      </c>
    </row>
    <row r="9" customFormat="false" ht="21.75" hidden="false" customHeight="true" outlineLevel="0" collapsed="false">
      <c r="A9" s="11" t="s">
        <v>674</v>
      </c>
      <c r="B9" s="12" t="s">
        <v>675</v>
      </c>
      <c r="C9" s="12" t="s">
        <v>676</v>
      </c>
      <c r="D9" s="12" t="s">
        <v>677</v>
      </c>
      <c r="E9" s="12" t="s">
        <v>678</v>
      </c>
      <c r="F9" s="12" t="s">
        <v>648</v>
      </c>
      <c r="G9" s="12" t="s">
        <v>679</v>
      </c>
      <c r="H9" s="12" t="s">
        <v>680</v>
      </c>
      <c r="I9" s="12" t="s">
        <v>681</v>
      </c>
      <c r="J9" s="12" t="s">
        <v>622</v>
      </c>
      <c r="K9" s="12" t="s">
        <v>682</v>
      </c>
      <c r="L9" s="12" t="s">
        <v>683</v>
      </c>
      <c r="M9" s="13" t="n">
        <f aca="false">COUNTIF(Scenarios!$O$2:$O$500,"*"&amp;A9&amp;"*")</f>
        <v>1</v>
      </c>
    </row>
    <row r="10" customFormat="false" ht="21.75" hidden="false" customHeight="true" outlineLevel="0" collapsed="false">
      <c r="A10" s="11" t="s">
        <v>684</v>
      </c>
      <c r="B10" s="12" t="s">
        <v>685</v>
      </c>
      <c r="C10" s="12" t="s">
        <v>686</v>
      </c>
      <c r="D10" s="12" t="s">
        <v>687</v>
      </c>
      <c r="E10" s="12" t="s">
        <v>688</v>
      </c>
      <c r="F10" s="12" t="s">
        <v>57</v>
      </c>
      <c r="G10" s="12" t="s">
        <v>689</v>
      </c>
      <c r="H10" s="12" t="s">
        <v>650</v>
      </c>
      <c r="I10" s="12" t="s">
        <v>690</v>
      </c>
      <c r="J10" s="12" t="s">
        <v>622</v>
      </c>
      <c r="K10" s="12" t="s">
        <v>691</v>
      </c>
      <c r="L10" s="12" t="s">
        <v>235</v>
      </c>
      <c r="M10" s="13" t="n">
        <f aca="false">COUNTIF(Scenarios!$O$2:$O$500,"*"&amp;A10&amp;"*")</f>
        <v>1</v>
      </c>
    </row>
    <row r="11" customFormat="false" ht="32.25" hidden="false" customHeight="true" outlineLevel="0" collapsed="false">
      <c r="A11" s="11" t="s">
        <v>181</v>
      </c>
      <c r="B11" s="12" t="s">
        <v>692</v>
      </c>
      <c r="C11" s="12" t="s">
        <v>603</v>
      </c>
      <c r="D11" s="12" t="s">
        <v>693</v>
      </c>
      <c r="E11" s="12" t="s">
        <v>694</v>
      </c>
      <c r="F11" s="12" t="s">
        <v>695</v>
      </c>
      <c r="G11" s="12" t="s">
        <v>696</v>
      </c>
      <c r="H11" s="12" t="s">
        <v>650</v>
      </c>
      <c r="I11" s="12" t="s">
        <v>697</v>
      </c>
      <c r="J11" s="12" t="s">
        <v>610</v>
      </c>
      <c r="K11" s="12" t="s">
        <v>698</v>
      </c>
      <c r="L11" s="12" t="s">
        <v>699</v>
      </c>
      <c r="M11" s="13" t="n">
        <f aca="false">COUNTIF(Scenarios!$O$2:$O$500,"*"&amp;A11&amp;"*")</f>
        <v>5</v>
      </c>
    </row>
    <row r="12" customFormat="false" ht="32.25" hidden="false" customHeight="true" outlineLevel="0" collapsed="false">
      <c r="A12" s="11" t="s">
        <v>164</v>
      </c>
      <c r="B12" s="12" t="s">
        <v>700</v>
      </c>
      <c r="C12" s="12" t="s">
        <v>701</v>
      </c>
      <c r="D12" s="12" t="s">
        <v>702</v>
      </c>
      <c r="E12" s="12" t="s">
        <v>703</v>
      </c>
      <c r="F12" s="12" t="s">
        <v>704</v>
      </c>
      <c r="G12" s="12" t="s">
        <v>705</v>
      </c>
      <c r="H12" s="12" t="s">
        <v>706</v>
      </c>
      <c r="I12" s="12" t="s">
        <v>707</v>
      </c>
      <c r="J12" s="12" t="s">
        <v>622</v>
      </c>
      <c r="K12" s="12" t="s">
        <v>708</v>
      </c>
      <c r="L12" s="12" t="s">
        <v>709</v>
      </c>
      <c r="M12" s="13" t="n">
        <f aca="false">COUNTIF(Scenarios!$O$2:$O$500,"*"&amp;A12&amp;"*")</f>
        <v>10</v>
      </c>
    </row>
    <row r="13" customFormat="false" ht="21.75" hidden="false" customHeight="true" outlineLevel="0" collapsed="false">
      <c r="A13" s="11" t="s">
        <v>299</v>
      </c>
      <c r="B13" s="12" t="s">
        <v>710</v>
      </c>
      <c r="C13" s="12" t="s">
        <v>711</v>
      </c>
      <c r="D13" s="12" t="s">
        <v>712</v>
      </c>
      <c r="E13" s="12" t="s">
        <v>713</v>
      </c>
      <c r="F13" s="12" t="s">
        <v>714</v>
      </c>
      <c r="G13" s="12" t="s">
        <v>715</v>
      </c>
      <c r="H13" s="12" t="s">
        <v>716</v>
      </c>
      <c r="I13" s="12" t="s">
        <v>717</v>
      </c>
      <c r="J13" s="12" t="s">
        <v>622</v>
      </c>
      <c r="K13" s="12" t="s">
        <v>718</v>
      </c>
      <c r="L13" s="12" t="s">
        <v>719</v>
      </c>
      <c r="M13" s="13" t="n">
        <f aca="false">COUNTIF(Scenarios!$O$2:$O$500,"*"&amp;A13&amp;"*")</f>
        <v>4</v>
      </c>
    </row>
    <row r="14" customFormat="false" ht="21.75" hidden="false" customHeight="true" outlineLevel="0" collapsed="false">
      <c r="A14" s="11" t="s">
        <v>720</v>
      </c>
      <c r="B14" s="12" t="s">
        <v>721</v>
      </c>
      <c r="C14" s="12" t="s">
        <v>603</v>
      </c>
      <c r="D14" s="12" t="s">
        <v>722</v>
      </c>
      <c r="E14" s="12" t="s">
        <v>723</v>
      </c>
      <c r="F14" s="12" t="s">
        <v>724</v>
      </c>
      <c r="G14" s="12" t="s">
        <v>725</v>
      </c>
      <c r="H14" s="12" t="s">
        <v>726</v>
      </c>
      <c r="I14" s="12" t="s">
        <v>727</v>
      </c>
      <c r="J14" s="12" t="s">
        <v>622</v>
      </c>
      <c r="K14" s="12" t="s">
        <v>728</v>
      </c>
      <c r="L14" s="12" t="s">
        <v>235</v>
      </c>
      <c r="M14" s="13" t="n">
        <f aca="false">COUNTIF(Scenarios!$O$2:$O$500,"*"&amp;A14&amp;"*")</f>
        <v>1</v>
      </c>
    </row>
    <row r="15" customFormat="false" ht="21.75" hidden="false" customHeight="true" outlineLevel="0" collapsed="false">
      <c r="A15" s="11" t="s">
        <v>223</v>
      </c>
      <c r="B15" s="12" t="s">
        <v>729</v>
      </c>
      <c r="C15" s="12" t="s">
        <v>603</v>
      </c>
      <c r="D15" s="12" t="s">
        <v>730</v>
      </c>
      <c r="E15" s="12" t="s">
        <v>731</v>
      </c>
      <c r="F15" s="12" t="s">
        <v>732</v>
      </c>
      <c r="G15" s="12" t="s">
        <v>733</v>
      </c>
      <c r="H15" s="12" t="s">
        <v>734</v>
      </c>
      <c r="I15" s="12" t="s">
        <v>735</v>
      </c>
      <c r="J15" s="12" t="s">
        <v>622</v>
      </c>
      <c r="K15" s="12" t="s">
        <v>736</v>
      </c>
      <c r="L15" s="12" t="s">
        <v>235</v>
      </c>
      <c r="M15" s="13" t="n">
        <f aca="false">COUNTIF(Scenarios!$O$2:$O$500,"*"&amp;A15&amp;"*")</f>
        <v>2</v>
      </c>
    </row>
    <row r="16" customFormat="false" ht="21.75" hidden="false" customHeight="true" outlineLevel="0" collapsed="false">
      <c r="A16" s="11" t="s">
        <v>737</v>
      </c>
      <c r="B16" s="12" t="s">
        <v>738</v>
      </c>
      <c r="C16" s="12" t="s">
        <v>603</v>
      </c>
      <c r="D16" s="12" t="s">
        <v>739</v>
      </c>
      <c r="E16" s="12" t="s">
        <v>740</v>
      </c>
      <c r="F16" s="12" t="s">
        <v>732</v>
      </c>
      <c r="G16" s="12" t="s">
        <v>741</v>
      </c>
      <c r="H16" s="12" t="s">
        <v>742</v>
      </c>
      <c r="I16" s="12" t="s">
        <v>743</v>
      </c>
      <c r="J16" s="12" t="s">
        <v>622</v>
      </c>
      <c r="K16" s="12" t="s">
        <v>744</v>
      </c>
      <c r="L16" s="12" t="s">
        <v>235</v>
      </c>
      <c r="M16" s="13" t="n">
        <f aca="false">COUNTIF(Scenarios!$O$2:$O$500,"*"&amp;A16&amp;"*")</f>
        <v>1</v>
      </c>
    </row>
    <row r="17" customFormat="false" ht="42.75" hidden="false" customHeight="true" outlineLevel="0" collapsed="false">
      <c r="A17" s="11" t="s">
        <v>244</v>
      </c>
      <c r="B17" s="12" t="s">
        <v>745</v>
      </c>
      <c r="C17" s="12" t="s">
        <v>746</v>
      </c>
      <c r="D17" s="12" t="s">
        <v>747</v>
      </c>
      <c r="E17" s="12" t="s">
        <v>748</v>
      </c>
      <c r="F17" s="12" t="s">
        <v>749</v>
      </c>
      <c r="G17" s="12" t="s">
        <v>750</v>
      </c>
      <c r="H17" s="12" t="s">
        <v>751</v>
      </c>
      <c r="I17" s="12" t="s">
        <v>752</v>
      </c>
      <c r="J17" s="12" t="s">
        <v>622</v>
      </c>
      <c r="K17" s="12" t="s">
        <v>753</v>
      </c>
      <c r="L17" s="12" t="s">
        <v>754</v>
      </c>
      <c r="M17" s="13" t="n">
        <f aca="false">COUNTIF(Scenarios!$O$2:$O$500,"*"&amp;A17&amp;"*")</f>
        <v>4</v>
      </c>
    </row>
    <row r="18" customFormat="false" ht="21.75" hidden="false" customHeight="true" outlineLevel="0" collapsed="false">
      <c r="A18" s="11" t="s">
        <v>277</v>
      </c>
      <c r="B18" s="12" t="s">
        <v>755</v>
      </c>
      <c r="C18" s="12" t="s">
        <v>756</v>
      </c>
      <c r="D18" s="12" t="s">
        <v>757</v>
      </c>
      <c r="E18" s="12" t="s">
        <v>758</v>
      </c>
      <c r="F18" s="12" t="s">
        <v>759</v>
      </c>
      <c r="G18" s="12" t="s">
        <v>760</v>
      </c>
      <c r="H18" s="12" t="s">
        <v>680</v>
      </c>
      <c r="I18" s="12" t="s">
        <v>761</v>
      </c>
      <c r="J18" s="12" t="s">
        <v>622</v>
      </c>
      <c r="K18" s="12" t="s">
        <v>762</v>
      </c>
      <c r="L18" s="12" t="s">
        <v>763</v>
      </c>
      <c r="M18" s="13" t="n">
        <f aca="false">COUNTIF(Scenarios!$O$2:$O$500,"*"&amp;A18&amp;"*")</f>
        <v>5</v>
      </c>
    </row>
    <row r="19" customFormat="false" ht="21.75" hidden="false" customHeight="true" outlineLevel="0" collapsed="false">
      <c r="A19" s="11" t="s">
        <v>366</v>
      </c>
      <c r="B19" s="12" t="s">
        <v>764</v>
      </c>
      <c r="C19" s="12" t="s">
        <v>756</v>
      </c>
      <c r="D19" s="12" t="s">
        <v>765</v>
      </c>
      <c r="E19" s="12" t="s">
        <v>766</v>
      </c>
      <c r="F19" s="12" t="s">
        <v>767</v>
      </c>
      <c r="G19" s="12" t="s">
        <v>768</v>
      </c>
      <c r="H19" s="12" t="s">
        <v>769</v>
      </c>
      <c r="I19" s="12" t="s">
        <v>770</v>
      </c>
      <c r="J19" s="12" t="s">
        <v>622</v>
      </c>
      <c r="K19" s="12" t="s">
        <v>235</v>
      </c>
      <c r="L19" s="12" t="s">
        <v>771</v>
      </c>
      <c r="M19" s="13" t="n">
        <f aca="false">COUNTIF(Scenarios!$O$2:$O$500,"*"&amp;A19&amp;"*")</f>
        <v>1</v>
      </c>
    </row>
    <row r="20" customFormat="false" ht="21.75" hidden="false" customHeight="true" outlineLevel="0" collapsed="false">
      <c r="A20" s="11" t="s">
        <v>348</v>
      </c>
      <c r="B20" s="12" t="s">
        <v>772</v>
      </c>
      <c r="C20" s="12" t="s">
        <v>773</v>
      </c>
      <c r="D20" s="12" t="s">
        <v>774</v>
      </c>
      <c r="E20" s="12" t="s">
        <v>775</v>
      </c>
      <c r="F20" s="12" t="s">
        <v>776</v>
      </c>
      <c r="G20" s="12" t="s">
        <v>777</v>
      </c>
      <c r="H20" s="12" t="s">
        <v>778</v>
      </c>
      <c r="I20" s="12" t="s">
        <v>779</v>
      </c>
      <c r="J20" s="12" t="s">
        <v>622</v>
      </c>
      <c r="K20" s="12" t="s">
        <v>780</v>
      </c>
      <c r="L20" s="12" t="s">
        <v>781</v>
      </c>
      <c r="M20" s="13" t="n">
        <f aca="false">COUNTIF(Scenarios!$O$2:$O$500,"*"&amp;A20&amp;"*")</f>
        <v>2</v>
      </c>
    </row>
    <row r="21" customFormat="false" ht="21.75" hidden="false" customHeight="true" outlineLevel="0" collapsed="false">
      <c r="A21" s="11" t="s">
        <v>388</v>
      </c>
      <c r="B21" s="12" t="s">
        <v>782</v>
      </c>
      <c r="C21" s="12" t="s">
        <v>783</v>
      </c>
      <c r="D21" s="12" t="s">
        <v>784</v>
      </c>
      <c r="E21" s="12" t="s">
        <v>785</v>
      </c>
      <c r="F21" s="12" t="s">
        <v>786</v>
      </c>
      <c r="G21" s="12" t="s">
        <v>787</v>
      </c>
      <c r="H21" s="12" t="s">
        <v>788</v>
      </c>
      <c r="I21" s="12" t="s">
        <v>789</v>
      </c>
      <c r="J21" s="12" t="s">
        <v>622</v>
      </c>
      <c r="K21" s="12" t="s">
        <v>790</v>
      </c>
      <c r="L21" s="12" t="s">
        <v>791</v>
      </c>
      <c r="M21" s="13" t="n">
        <f aca="false">COUNTIF(Scenarios!$O$2:$O$500,"*"&amp;A21&amp;"*")</f>
        <v>2</v>
      </c>
    </row>
    <row r="22" customFormat="false" ht="21.75" hidden="false" customHeight="true" outlineLevel="0" collapsed="false">
      <c r="A22" s="11" t="s">
        <v>792</v>
      </c>
      <c r="B22" s="12" t="s">
        <v>793</v>
      </c>
      <c r="C22" s="12" t="s">
        <v>794</v>
      </c>
      <c r="D22" s="12" t="s">
        <v>795</v>
      </c>
      <c r="E22" s="12" t="s">
        <v>796</v>
      </c>
      <c r="F22" s="12" t="s">
        <v>797</v>
      </c>
      <c r="G22" s="12" t="s">
        <v>798</v>
      </c>
      <c r="H22" s="12" t="s">
        <v>799</v>
      </c>
      <c r="I22" s="12" t="s">
        <v>800</v>
      </c>
      <c r="J22" s="12" t="s">
        <v>622</v>
      </c>
      <c r="K22" s="12" t="s">
        <v>235</v>
      </c>
      <c r="L22" s="12" t="s">
        <v>801</v>
      </c>
      <c r="M22" s="13" t="n">
        <f aca="false">COUNTIF(Scenarios!$O$2:$O$500,"*"&amp;A22&amp;"*")</f>
        <v>1</v>
      </c>
    </row>
    <row r="23" customFormat="false" ht="21.75" hidden="false" customHeight="true" outlineLevel="0" collapsed="false">
      <c r="A23" s="11" t="s">
        <v>399</v>
      </c>
      <c r="B23" s="12" t="s">
        <v>802</v>
      </c>
      <c r="C23" s="12" t="s">
        <v>773</v>
      </c>
      <c r="D23" s="12" t="s">
        <v>803</v>
      </c>
      <c r="E23" s="12" t="s">
        <v>804</v>
      </c>
      <c r="F23" s="12" t="s">
        <v>805</v>
      </c>
      <c r="G23" s="12" t="s">
        <v>806</v>
      </c>
      <c r="H23" s="12" t="s">
        <v>799</v>
      </c>
      <c r="I23" s="12" t="s">
        <v>807</v>
      </c>
      <c r="J23" s="12" t="s">
        <v>622</v>
      </c>
      <c r="K23" s="12" t="s">
        <v>808</v>
      </c>
      <c r="L23" s="12" t="s">
        <v>235</v>
      </c>
      <c r="M23" s="13" t="n">
        <f aca="false">COUNTIF(Scenarios!$O$2:$O$500,"*"&amp;A23&amp;"*")</f>
        <v>1</v>
      </c>
    </row>
    <row r="24" customFormat="false" ht="15" hidden="false" customHeight="true" outlineLevel="0" collapsed="false">
      <c r="A24" s="11" t="s">
        <v>411</v>
      </c>
      <c r="B24" s="12" t="s">
        <v>809</v>
      </c>
      <c r="C24" s="12" t="s">
        <v>810</v>
      </c>
      <c r="D24" s="12" t="s">
        <v>811</v>
      </c>
      <c r="E24" s="12" t="s">
        <v>812</v>
      </c>
      <c r="F24" s="12" t="s">
        <v>813</v>
      </c>
      <c r="G24" s="12" t="s">
        <v>814</v>
      </c>
      <c r="H24" s="12" t="s">
        <v>815</v>
      </c>
      <c r="I24" s="12" t="s">
        <v>816</v>
      </c>
      <c r="J24" s="12" t="s">
        <v>622</v>
      </c>
      <c r="K24" s="12" t="s">
        <v>817</v>
      </c>
      <c r="L24" s="12" t="s">
        <v>818</v>
      </c>
      <c r="M24" s="13" t="n">
        <f aca="false">COUNTIF(Scenarios!$O$2:$O$500,"*"&amp;A24&amp;"*")</f>
        <v>1</v>
      </c>
    </row>
    <row r="25" customFormat="false" ht="21.75" hidden="false" customHeight="true" outlineLevel="0" collapsed="false">
      <c r="A25" s="11" t="s">
        <v>421</v>
      </c>
      <c r="B25" s="12" t="s">
        <v>819</v>
      </c>
      <c r="C25" s="12" t="s">
        <v>810</v>
      </c>
      <c r="D25" s="12" t="s">
        <v>820</v>
      </c>
      <c r="E25" s="12" t="s">
        <v>821</v>
      </c>
      <c r="F25" s="12" t="s">
        <v>822</v>
      </c>
      <c r="G25" s="12" t="s">
        <v>823</v>
      </c>
      <c r="H25" s="12" t="s">
        <v>815</v>
      </c>
      <c r="I25" s="12" t="s">
        <v>824</v>
      </c>
      <c r="J25" s="12" t="s">
        <v>622</v>
      </c>
      <c r="K25" s="12" t="s">
        <v>235</v>
      </c>
      <c r="L25" s="12" t="s">
        <v>825</v>
      </c>
      <c r="M25" s="13" t="n">
        <f aca="false">COUNTIF(Scenarios!$O$2:$O$500,"*"&amp;A25&amp;"*")</f>
        <v>1</v>
      </c>
    </row>
    <row r="26" customFormat="false" ht="21.75" hidden="false" customHeight="true" outlineLevel="0" collapsed="false">
      <c r="A26" s="11" t="s">
        <v>431</v>
      </c>
      <c r="B26" s="12" t="s">
        <v>826</v>
      </c>
      <c r="C26" s="12" t="s">
        <v>810</v>
      </c>
      <c r="D26" s="12" t="s">
        <v>827</v>
      </c>
      <c r="E26" s="12" t="s">
        <v>828</v>
      </c>
      <c r="F26" s="12" t="s">
        <v>810</v>
      </c>
      <c r="G26" s="12" t="s">
        <v>829</v>
      </c>
      <c r="H26" s="12" t="s">
        <v>815</v>
      </c>
      <c r="I26" s="12" t="s">
        <v>830</v>
      </c>
      <c r="J26" s="12" t="s">
        <v>622</v>
      </c>
      <c r="K26" s="12" t="s">
        <v>831</v>
      </c>
      <c r="L26" s="12" t="s">
        <v>832</v>
      </c>
      <c r="M26" s="13" t="n">
        <f aca="false">COUNTIF(Scenarios!$O$2:$O$500,"*"&amp;A26&amp;"*")</f>
        <v>1</v>
      </c>
    </row>
    <row r="27" customFormat="false" ht="21.75" hidden="false" customHeight="true" outlineLevel="0" collapsed="false">
      <c r="A27" s="11" t="s">
        <v>460</v>
      </c>
      <c r="B27" s="12" t="s">
        <v>833</v>
      </c>
      <c r="C27" s="12" t="s">
        <v>834</v>
      </c>
      <c r="D27" s="12" t="s">
        <v>835</v>
      </c>
      <c r="E27" s="12" t="s">
        <v>836</v>
      </c>
      <c r="F27" s="12" t="s">
        <v>837</v>
      </c>
      <c r="G27" s="12" t="s">
        <v>838</v>
      </c>
      <c r="H27" s="12" t="s">
        <v>620</v>
      </c>
      <c r="I27" s="12" t="s">
        <v>839</v>
      </c>
      <c r="J27" s="12" t="s">
        <v>622</v>
      </c>
      <c r="K27" s="12" t="s">
        <v>840</v>
      </c>
      <c r="L27" s="12" t="s">
        <v>235</v>
      </c>
      <c r="M27" s="13" t="n">
        <f aca="false">COUNTIF(Scenarios!$O$2:$O$500,"*"&amp;A27&amp;"*")</f>
        <v>1</v>
      </c>
    </row>
    <row r="28" customFormat="false" ht="21.75" hidden="false" customHeight="true" outlineLevel="0" collapsed="false">
      <c r="A28" s="11" t="s">
        <v>841</v>
      </c>
      <c r="B28" s="12" t="s">
        <v>842</v>
      </c>
      <c r="C28" s="12" t="s">
        <v>843</v>
      </c>
      <c r="D28" s="12" t="s">
        <v>844</v>
      </c>
      <c r="E28" s="12" t="s">
        <v>845</v>
      </c>
      <c r="F28" s="12" t="s">
        <v>846</v>
      </c>
      <c r="G28" s="12" t="s">
        <v>847</v>
      </c>
      <c r="H28" s="12" t="s">
        <v>632</v>
      </c>
      <c r="I28" s="12" t="s">
        <v>848</v>
      </c>
      <c r="J28" s="12" t="s">
        <v>622</v>
      </c>
      <c r="K28" s="12" t="s">
        <v>849</v>
      </c>
      <c r="L28" s="12" t="s">
        <v>850</v>
      </c>
      <c r="M28" s="13" t="n">
        <f aca="false">COUNTIF(Scenarios!$O$2:$O$500,"*"&amp;A28&amp;"*")</f>
        <v>1</v>
      </c>
    </row>
    <row r="29" customFormat="false" ht="21.75" hidden="false" customHeight="true" outlineLevel="0" collapsed="false">
      <c r="A29" s="11" t="s">
        <v>513</v>
      </c>
      <c r="B29" s="12" t="s">
        <v>851</v>
      </c>
      <c r="C29" s="12" t="s">
        <v>773</v>
      </c>
      <c r="D29" s="12" t="s">
        <v>852</v>
      </c>
      <c r="E29" s="12" t="s">
        <v>853</v>
      </c>
      <c r="F29" s="12" t="s">
        <v>854</v>
      </c>
      <c r="G29" s="12" t="s">
        <v>855</v>
      </c>
      <c r="H29" s="12" t="s">
        <v>856</v>
      </c>
      <c r="I29" s="12" t="s">
        <v>857</v>
      </c>
      <c r="J29" s="12" t="s">
        <v>622</v>
      </c>
      <c r="K29" s="12" t="s">
        <v>858</v>
      </c>
      <c r="L29" s="12" t="s">
        <v>859</v>
      </c>
      <c r="M29" s="13" t="n">
        <f aca="false">COUNTIF(Scenarios!$O$2:$O$500,"*"&amp;A29&amp;"*")</f>
        <v>1</v>
      </c>
    </row>
    <row r="30" customFormat="false" ht="21.75" hidden="false" customHeight="true" outlineLevel="0" collapsed="false">
      <c r="A30" s="11" t="s">
        <v>321</v>
      </c>
      <c r="B30" s="12" t="s">
        <v>860</v>
      </c>
      <c r="C30" s="12" t="s">
        <v>861</v>
      </c>
      <c r="D30" s="12" t="s">
        <v>862</v>
      </c>
      <c r="E30" s="12" t="s">
        <v>863</v>
      </c>
      <c r="F30" s="12" t="s">
        <v>864</v>
      </c>
      <c r="G30" s="12" t="s">
        <v>865</v>
      </c>
      <c r="H30" s="12" t="s">
        <v>866</v>
      </c>
      <c r="I30" s="12" t="s">
        <v>867</v>
      </c>
      <c r="J30" s="12" t="s">
        <v>622</v>
      </c>
      <c r="K30" s="12" t="s">
        <v>235</v>
      </c>
      <c r="L30" s="12" t="s">
        <v>868</v>
      </c>
      <c r="M30" s="13" t="n">
        <f aca="false">COUNTIF(Scenarios!$O$2:$O$500,"*"&amp;A30&amp;"*")</f>
        <v>1</v>
      </c>
    </row>
    <row r="31" customFormat="false" ht="21.75" hidden="false" customHeight="true" outlineLevel="0" collapsed="false">
      <c r="A31" s="11" t="s">
        <v>869</v>
      </c>
      <c r="B31" s="12" t="s">
        <v>870</v>
      </c>
      <c r="C31" s="12" t="s">
        <v>834</v>
      </c>
      <c r="D31" s="12" t="s">
        <v>871</v>
      </c>
      <c r="E31" s="12" t="s">
        <v>872</v>
      </c>
      <c r="F31" s="12" t="s">
        <v>873</v>
      </c>
      <c r="G31" s="12" t="s">
        <v>874</v>
      </c>
      <c r="H31" s="12" t="s">
        <v>875</v>
      </c>
      <c r="I31" s="12" t="s">
        <v>876</v>
      </c>
      <c r="J31" s="12" t="s">
        <v>622</v>
      </c>
      <c r="K31" s="12" t="s">
        <v>235</v>
      </c>
      <c r="L31" s="12" t="s">
        <v>877</v>
      </c>
      <c r="M31" s="13" t="n">
        <f aca="false">COUNTIF(Scenarios!$O$2:$O$500,"*"&amp;A31&amp;"*")</f>
        <v>1</v>
      </c>
    </row>
    <row r="32" customFormat="false" ht="21.75" hidden="false" customHeight="true" outlineLevel="0" collapsed="false">
      <c r="A32" s="11" t="s">
        <v>554</v>
      </c>
      <c r="B32" s="12" t="s">
        <v>878</v>
      </c>
      <c r="C32" s="12" t="s">
        <v>773</v>
      </c>
      <c r="D32" s="12" t="s">
        <v>879</v>
      </c>
      <c r="E32" s="12" t="s">
        <v>880</v>
      </c>
      <c r="F32" s="12" t="s">
        <v>881</v>
      </c>
      <c r="G32" s="12" t="s">
        <v>882</v>
      </c>
      <c r="H32" s="12" t="s">
        <v>799</v>
      </c>
      <c r="I32" s="12" t="s">
        <v>883</v>
      </c>
      <c r="J32" s="12" t="s">
        <v>622</v>
      </c>
      <c r="K32" s="12" t="s">
        <v>235</v>
      </c>
      <c r="L32" s="12" t="s">
        <v>235</v>
      </c>
      <c r="M32" s="13" t="n">
        <f aca="false">COUNTIF(Scenarios!$O$2:$O$500,"*"&amp;A32&amp;"*")</f>
        <v>1</v>
      </c>
    </row>
    <row r="33" customFormat="false" ht="21.75" hidden="false" customHeight="true" outlineLevel="0" collapsed="false">
      <c r="A33" s="11" t="s">
        <v>544</v>
      </c>
      <c r="B33" s="12" t="s">
        <v>884</v>
      </c>
      <c r="C33" s="12" t="s">
        <v>773</v>
      </c>
      <c r="D33" s="12" t="s">
        <v>885</v>
      </c>
      <c r="E33" s="12" t="s">
        <v>886</v>
      </c>
      <c r="F33" s="12" t="s">
        <v>887</v>
      </c>
      <c r="G33" s="12" t="s">
        <v>882</v>
      </c>
      <c r="H33" s="12" t="s">
        <v>799</v>
      </c>
      <c r="I33" s="12" t="s">
        <v>888</v>
      </c>
      <c r="J33" s="12" t="s">
        <v>622</v>
      </c>
      <c r="K33" s="12" t="s">
        <v>235</v>
      </c>
      <c r="L33" s="12" t="s">
        <v>235</v>
      </c>
      <c r="M33" s="13" t="n">
        <f aca="false">COUNTIF(Scenarios!$O$2:$O$500,"*"&amp;A33&amp;"*")</f>
        <v>1</v>
      </c>
    </row>
    <row r="34" customFormat="false" ht="32.25" hidden="false" customHeight="true" outlineLevel="0" collapsed="false">
      <c r="A34" s="11" t="s">
        <v>376</v>
      </c>
      <c r="B34" s="12" t="s">
        <v>889</v>
      </c>
      <c r="C34" s="12" t="s">
        <v>890</v>
      </c>
      <c r="D34" s="12" t="s">
        <v>891</v>
      </c>
      <c r="E34" s="12" t="s">
        <v>892</v>
      </c>
      <c r="F34" s="12" t="s">
        <v>893</v>
      </c>
      <c r="G34" s="12" t="s">
        <v>894</v>
      </c>
      <c r="H34" s="12" t="s">
        <v>895</v>
      </c>
      <c r="I34" s="12" t="s">
        <v>896</v>
      </c>
      <c r="J34" s="12" t="s">
        <v>622</v>
      </c>
      <c r="K34" s="12" t="s">
        <v>897</v>
      </c>
      <c r="L34" s="12" t="s">
        <v>898</v>
      </c>
      <c r="M34" s="13" t="n">
        <f aca="false">COUNTIF(Scenarios!$O$2:$O$500,"*"&amp;A34&amp;"*")</f>
        <v>2</v>
      </c>
    </row>
    <row r="35" customFormat="false" ht="21.75" hidden="false" customHeight="true" outlineLevel="0" collapsed="false">
      <c r="A35" s="11" t="s">
        <v>899</v>
      </c>
      <c r="B35" s="12" t="s">
        <v>900</v>
      </c>
      <c r="C35" s="12" t="s">
        <v>901</v>
      </c>
      <c r="D35" s="12" t="s">
        <v>902</v>
      </c>
      <c r="E35" s="12" t="s">
        <v>903</v>
      </c>
      <c r="F35" s="12" t="s">
        <v>904</v>
      </c>
      <c r="G35" s="12" t="s">
        <v>905</v>
      </c>
      <c r="H35" s="12" t="s">
        <v>799</v>
      </c>
      <c r="I35" s="12" t="s">
        <v>906</v>
      </c>
      <c r="J35" s="12" t="s">
        <v>907</v>
      </c>
      <c r="K35" s="12" t="s">
        <v>908</v>
      </c>
      <c r="L35" s="12" t="s">
        <v>909</v>
      </c>
      <c r="M35" s="13" t="n">
        <f aca="false">COUNTIF(Scenarios!$O$2:$O$500,"*"&amp;A35&amp;"*")</f>
        <v>2</v>
      </c>
    </row>
  </sheetData>
  <autoFilter ref="A1:M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40"/>
  </cols>
  <sheetData>
    <row r="1" customFormat="false" ht="39.75" hidden="false" customHeight="true" outlineLevel="0" collapsed="false">
      <c r="A1" s="5" t="s">
        <v>910</v>
      </c>
      <c r="B1" s="5" t="s">
        <v>911</v>
      </c>
    </row>
    <row r="2" customFormat="false" ht="15" hidden="false" customHeight="true" outlineLevel="0" collapsed="false">
      <c r="A2" s="11" t="s">
        <v>912</v>
      </c>
      <c r="B2" s="12" t="s">
        <v>913</v>
      </c>
    </row>
    <row r="3" customFormat="false" ht="15" hidden="false" customHeight="true" outlineLevel="0" collapsed="false">
      <c r="A3" s="11" t="s">
        <v>914</v>
      </c>
      <c r="B3" s="12" t="s">
        <v>199</v>
      </c>
    </row>
    <row r="4" customFormat="false" ht="15" hidden="false" customHeight="true" outlineLevel="0" collapsed="false">
      <c r="A4" s="11" t="s">
        <v>915</v>
      </c>
      <c r="B4" s="12" t="s">
        <v>916</v>
      </c>
    </row>
    <row r="5" customFormat="false" ht="15" hidden="false" customHeight="true" outlineLevel="0" collapsed="false">
      <c r="A5" s="11" t="s">
        <v>917</v>
      </c>
      <c r="B5" s="12" t="s">
        <v>286</v>
      </c>
    </row>
    <row r="6" customFormat="false" ht="15" hidden="false" customHeight="true" outlineLevel="0" collapsed="false">
      <c r="A6" s="11" t="s">
        <v>918</v>
      </c>
      <c r="B6" s="12" t="s">
        <v>257</v>
      </c>
    </row>
    <row r="7" customFormat="false" ht="15" hidden="false" customHeight="true" outlineLevel="0" collapsed="false">
      <c r="A7" s="11" t="s">
        <v>919</v>
      </c>
      <c r="B7" s="12" t="s">
        <v>920</v>
      </c>
    </row>
    <row r="8" customFormat="false" ht="15" hidden="false" customHeight="true" outlineLevel="0" collapsed="false">
      <c r="A8" s="11" t="s">
        <v>921</v>
      </c>
      <c r="B8" s="12" t="s">
        <v>400</v>
      </c>
    </row>
    <row r="9" customFormat="false" ht="15" hidden="false" customHeight="true" outlineLevel="0" collapsed="false">
      <c r="A9" s="11" t="s">
        <v>922</v>
      </c>
      <c r="B9" s="12" t="s">
        <v>332</v>
      </c>
    </row>
    <row r="10" customFormat="false" ht="15" hidden="false" customHeight="true" outlineLevel="0" collapsed="false">
      <c r="A10" s="11" t="s">
        <v>923</v>
      </c>
      <c r="B10" s="12" t="s">
        <v>470</v>
      </c>
    </row>
    <row r="11" customFormat="false" ht="15" hidden="false" customHeight="true" outlineLevel="0" collapsed="false">
      <c r="A11" s="11" t="s">
        <v>924</v>
      </c>
      <c r="B11" s="12" t="s">
        <v>925</v>
      </c>
    </row>
    <row r="12" customFormat="false" ht="15" hidden="false" customHeight="true" outlineLevel="0" collapsed="false">
      <c r="A12" s="11" t="s">
        <v>926</v>
      </c>
      <c r="B12" s="12" t="s">
        <v>224</v>
      </c>
    </row>
    <row r="13" customFormat="false" ht="15" hidden="false" customHeight="true" outlineLevel="0" collapsed="false">
      <c r="A13" s="11" t="s">
        <v>927</v>
      </c>
      <c r="B13" s="12" t="s">
        <v>928</v>
      </c>
    </row>
    <row r="14" customFormat="false" ht="15" hidden="false" customHeight="true" outlineLevel="0" collapsed="false">
      <c r="A14" s="11" t="s">
        <v>929</v>
      </c>
      <c r="B14" s="12" t="s">
        <v>157</v>
      </c>
    </row>
    <row r="15" customFormat="false" ht="15" hidden="false" customHeight="true" outlineLevel="0" collapsed="false">
      <c r="A15" s="11" t="s">
        <v>930</v>
      </c>
      <c r="B15" s="12" t="s">
        <v>555</v>
      </c>
    </row>
    <row r="16" customFormat="false" ht="15" hidden="false" customHeight="true" outlineLevel="0" collapsed="false">
      <c r="A16" s="11" t="s">
        <v>931</v>
      </c>
      <c r="B16" s="12" t="s">
        <v>932</v>
      </c>
    </row>
    <row r="17" customFormat="false" ht="15" hidden="false" customHeight="true" outlineLevel="0" collapsed="false">
      <c r="A17" s="11" t="s">
        <v>933</v>
      </c>
      <c r="B17" s="12" t="s">
        <v>367</v>
      </c>
    </row>
    <row r="18" customFormat="false" ht="15" hidden="false" customHeight="true" outlineLevel="0" collapsed="false">
      <c r="A18" s="11" t="s">
        <v>934</v>
      </c>
      <c r="B18" s="12" t="s">
        <v>461</v>
      </c>
    </row>
  </sheetData>
  <autoFilter ref="A1:B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46"/>
    <col collapsed="false" customWidth="true" hidden="false" outlineLevel="0" max="5" min="5" style="1" width="36"/>
    <col collapsed="false" customWidth="true" hidden="false" outlineLevel="0" max="7" min="7" style="1" width="16"/>
    <col collapsed="false" customWidth="true" hidden="false" outlineLevel="0" max="8" min="8" style="1" width="8"/>
    <col collapsed="false" customWidth="true" hidden="false" outlineLevel="0" max="9" min="9" style="1" width="12"/>
    <col collapsed="false" customWidth="true" hidden="false" outlineLevel="0" max="11" min="11" style="1" width="30"/>
  </cols>
  <sheetData>
    <row r="1" customFormat="false" ht="42" hidden="false" customHeight="true" outlineLevel="0" collapsed="false">
      <c r="A1" s="15" t="s">
        <v>935</v>
      </c>
      <c r="B1" s="15" t="s">
        <v>936</v>
      </c>
      <c r="C1" s="15" t="s">
        <v>937</v>
      </c>
      <c r="E1" s="15" t="s">
        <v>938</v>
      </c>
      <c r="G1" s="15" t="s">
        <v>939</v>
      </c>
      <c r="H1" s="15" t="s">
        <v>940</v>
      </c>
      <c r="I1" s="15" t="s">
        <v>941</v>
      </c>
      <c r="K1" s="15" t="s">
        <v>942</v>
      </c>
    </row>
    <row r="2" customFormat="false" ht="15" hidden="false" customHeight="true" outlineLevel="0" collapsed="false">
      <c r="A2" s="12" t="s">
        <v>35</v>
      </c>
      <c r="B2" s="16" t="s">
        <v>943</v>
      </c>
      <c r="C2" s="12" t="s">
        <v>944</v>
      </c>
      <c r="E2" s="12" t="s">
        <v>34</v>
      </c>
      <c r="G2" s="12" t="s">
        <v>44</v>
      </c>
      <c r="H2" s="12" t="s">
        <v>945</v>
      </c>
      <c r="I2" s="12" t="s">
        <v>946</v>
      </c>
      <c r="K2" s="12" t="s">
        <v>603</v>
      </c>
    </row>
    <row r="3" customFormat="false" ht="21.75" hidden="false" customHeight="true" outlineLevel="0" collapsed="false">
      <c r="A3" s="12" t="s">
        <v>57</v>
      </c>
      <c r="B3" s="17" t="s">
        <v>947</v>
      </c>
      <c r="C3" s="12" t="s">
        <v>948</v>
      </c>
      <c r="E3" s="12" t="s">
        <v>82</v>
      </c>
      <c r="G3" s="12" t="s">
        <v>296</v>
      </c>
      <c r="H3" s="12" t="s">
        <v>949</v>
      </c>
      <c r="I3" s="12" t="s">
        <v>946</v>
      </c>
      <c r="K3" s="12" t="s">
        <v>834</v>
      </c>
    </row>
    <row r="4" customFormat="false" ht="15" hidden="false" customHeight="true" outlineLevel="0" collapsed="false">
      <c r="A4" s="12" t="s">
        <v>49</v>
      </c>
      <c r="B4" s="18" t="s">
        <v>950</v>
      </c>
      <c r="C4" s="12" t="s">
        <v>951</v>
      </c>
      <c r="E4" s="12" t="s">
        <v>100</v>
      </c>
      <c r="G4" s="12" t="s">
        <v>308</v>
      </c>
      <c r="H4" s="12" t="s">
        <v>952</v>
      </c>
      <c r="I4" s="12" t="s">
        <v>946</v>
      </c>
      <c r="K4" s="12" t="s">
        <v>773</v>
      </c>
    </row>
    <row r="5" customFormat="false" ht="15" hidden="false" customHeight="true" outlineLevel="0" collapsed="false">
      <c r="A5" s="12" t="s">
        <v>149</v>
      </c>
      <c r="B5" s="19" t="s">
        <v>953</v>
      </c>
      <c r="C5" s="12"/>
      <c r="E5" s="12" t="s">
        <v>148</v>
      </c>
      <c r="G5" s="12" t="s">
        <v>134</v>
      </c>
      <c r="H5" s="12" t="s">
        <v>954</v>
      </c>
      <c r="I5" s="12" t="s">
        <v>946</v>
      </c>
      <c r="K5" s="12" t="s">
        <v>955</v>
      </c>
    </row>
    <row r="6" customFormat="false" ht="15" hidden="false" customHeight="true" outlineLevel="0" collapsed="false">
      <c r="A6" s="12" t="s">
        <v>113</v>
      </c>
      <c r="B6" s="20" t="s">
        <v>956</v>
      </c>
      <c r="C6" s="12"/>
      <c r="E6" s="12" t="s">
        <v>166</v>
      </c>
      <c r="G6" s="12" t="s">
        <v>122</v>
      </c>
      <c r="H6" s="12" t="s">
        <v>957</v>
      </c>
      <c r="I6" s="12" t="s">
        <v>946</v>
      </c>
      <c r="K6" s="12" t="s">
        <v>958</v>
      </c>
    </row>
    <row r="7" customFormat="false" ht="15" hidden="false" customHeight="true" outlineLevel="0" collapsed="false">
      <c r="A7" s="12" t="s">
        <v>91</v>
      </c>
      <c r="B7" s="21" t="s">
        <v>959</v>
      </c>
      <c r="C7" s="12"/>
      <c r="E7" s="12" t="s">
        <v>200</v>
      </c>
      <c r="G7" s="12" t="s">
        <v>318</v>
      </c>
      <c r="H7" s="12" t="s">
        <v>960</v>
      </c>
      <c r="I7" s="12" t="s">
        <v>946</v>
      </c>
      <c r="K7" s="12" t="s">
        <v>961</v>
      </c>
    </row>
    <row r="8" customFormat="false" ht="15" hidden="false" customHeight="true" outlineLevel="0" collapsed="false">
      <c r="A8" s="12" t="s">
        <v>401</v>
      </c>
      <c r="B8" s="22" t="s">
        <v>962</v>
      </c>
      <c r="C8" s="12"/>
      <c r="E8" s="12" t="s">
        <v>237</v>
      </c>
      <c r="G8" s="12" t="s">
        <v>220</v>
      </c>
      <c r="H8" s="12" t="s">
        <v>963</v>
      </c>
      <c r="I8" s="12" t="s">
        <v>946</v>
      </c>
      <c r="K8" s="12" t="s">
        <v>964</v>
      </c>
    </row>
    <row r="9" customFormat="false" ht="15" hidden="false" customHeight="true" outlineLevel="0" collapsed="false">
      <c r="A9" s="12" t="s">
        <v>471</v>
      </c>
      <c r="B9" s="23" t="s">
        <v>965</v>
      </c>
      <c r="C9" s="12"/>
      <c r="E9" s="12" t="s">
        <v>287</v>
      </c>
      <c r="G9" s="12" t="s">
        <v>966</v>
      </c>
      <c r="H9" s="12" t="s">
        <v>967</v>
      </c>
      <c r="I9" s="12" t="s">
        <v>968</v>
      </c>
      <c r="K9" s="12" t="s">
        <v>969</v>
      </c>
    </row>
    <row r="10" customFormat="false" ht="15" hidden="false" customHeight="true" outlineLevel="0" collapsed="false">
      <c r="A10" s="12" t="s">
        <v>494</v>
      </c>
      <c r="B10" s="24" t="s">
        <v>970</v>
      </c>
      <c r="C10" s="12"/>
      <c r="E10" s="12" t="s">
        <v>323</v>
      </c>
    </row>
    <row r="11" customFormat="false" ht="15" hidden="false" customHeight="true" outlineLevel="0" collapsed="false">
      <c r="A11" s="12" t="s">
        <v>201</v>
      </c>
      <c r="B11" s="25" t="s">
        <v>971</v>
      </c>
      <c r="C11" s="12"/>
      <c r="E11" s="12" t="s">
        <v>378</v>
      </c>
    </row>
    <row r="12" customFormat="false" ht="15" hidden="false" customHeight="true" outlineLevel="0" collapsed="false">
      <c r="A12" s="12" t="s">
        <v>225</v>
      </c>
      <c r="B12" s="26" t="s">
        <v>972</v>
      </c>
      <c r="C12" s="12"/>
      <c r="E12" s="12" t="s">
        <v>462</v>
      </c>
    </row>
    <row r="13" customFormat="false" ht="15" hidden="false" customHeight="true" outlineLevel="0" collapsed="false">
      <c r="E13" s="12" t="s">
        <v>493</v>
      </c>
    </row>
    <row r="14" customFormat="false" ht="15" hidden="false" customHeight="true" outlineLevel="0" collapsed="false">
      <c r="E14" s="12" t="s">
        <v>525</v>
      </c>
    </row>
    <row r="15" customFormat="false" ht="15" hidden="false" customHeight="true" outlineLevel="0" collapsed="false">
      <c r="E15" s="12" t="s">
        <v>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0"/>
  </cols>
  <sheetData>
    <row r="1" customFormat="false" ht="15" hidden="false" customHeight="true" outlineLevel="0" collapsed="false">
      <c r="A1" s="27" t="s">
        <v>973</v>
      </c>
      <c r="B1" s="27" t="s">
        <v>974</v>
      </c>
    </row>
    <row r="2" customFormat="false" ht="15" hidden="false" customHeight="true" outlineLevel="0" collapsed="false">
      <c r="A2" s="28" t="s">
        <v>975</v>
      </c>
      <c r="B2" s="3" t="s">
        <v>976</v>
      </c>
    </row>
    <row r="3" customFormat="false" ht="23.25" hidden="false" customHeight="true" outlineLevel="0" collapsed="false">
      <c r="A3" s="28" t="s">
        <v>977</v>
      </c>
      <c r="B3" s="3" t="s">
        <v>978</v>
      </c>
    </row>
    <row r="4" customFormat="false" ht="15" hidden="false" customHeight="true" outlineLevel="0" collapsed="false">
      <c r="A4" s="28" t="s">
        <v>979</v>
      </c>
      <c r="B4" s="3" t="s">
        <v>980</v>
      </c>
    </row>
    <row r="5" customFormat="false" ht="34.5" hidden="false" customHeight="true" outlineLevel="0" collapsed="false">
      <c r="A5" s="28" t="s">
        <v>981</v>
      </c>
      <c r="B5" s="3" t="s">
        <v>982</v>
      </c>
    </row>
    <row r="6" customFormat="false" ht="23.25" hidden="false" customHeight="true" outlineLevel="0" collapsed="false">
      <c r="A6" s="28" t="s">
        <v>983</v>
      </c>
      <c r="B6" s="3" t="s">
        <v>984</v>
      </c>
    </row>
    <row r="7" customFormat="false" ht="15" hidden="false" customHeight="false" outlineLevel="0" collapsed="false">
      <c r="A7" s="29" t="s">
        <v>985</v>
      </c>
      <c r="B7" s="30" t="s">
        <v>986</v>
      </c>
    </row>
    <row r="8" customFormat="false" ht="15" hidden="false" customHeight="false" outlineLevel="0" collapsed="false">
      <c r="A8" s="29" t="s">
        <v>987</v>
      </c>
      <c r="B8" s="30" t="s">
        <v>988</v>
      </c>
    </row>
    <row r="10" customFormat="false" ht="15" hidden="false" customHeight="false" outlineLevel="0" collapsed="false">
      <c r="A10" s="31" t="s">
        <v>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2"/>
  </cols>
  <sheetData>
    <row r="1" customFormat="false" ht="15" hidden="false" customHeight="true" outlineLevel="0" collapsed="false">
      <c r="A1" s="27" t="s">
        <v>990</v>
      </c>
      <c r="B1" s="27" t="s">
        <v>991</v>
      </c>
    </row>
    <row r="2" customFormat="false" ht="15" hidden="false" customHeight="true" outlineLevel="0" collapsed="false">
      <c r="A2" s="32" t="s">
        <v>992</v>
      </c>
      <c r="B2" s="33" t="n">
        <f aca="false">COUNTA(Scenarios!A2:A500)</f>
        <v>56</v>
      </c>
    </row>
    <row r="3" customFormat="false" ht="15" hidden="false" customHeight="true" outlineLevel="0" collapsed="false">
      <c r="A3" s="32" t="s">
        <v>993</v>
      </c>
      <c r="B3" s="33" t="n">
        <f aca="false">COUNTA('Safety functions'!A2:A200)</f>
        <v>34</v>
      </c>
    </row>
    <row r="4" customFormat="false" ht="15" hidden="false" customHeight="true" outlineLevel="0" collapsed="false">
      <c r="A4" s="32" t="s">
        <v>994</v>
      </c>
      <c r="B4" s="33" t="n">
        <f aca="false">COUNTIF(Scenarios!O2:O500,"")-(ROWS(Scenarios!O2:O500)-COUNTA(Scenarios!A2:A500))</f>
        <v>7</v>
      </c>
    </row>
    <row r="5" customFormat="false" ht="15" hidden="false" customHeight="true" outlineLevel="0" collapsed="false">
      <c r="A5" s="32" t="s">
        <v>995</v>
      </c>
      <c r="B5" s="33" t="n">
        <f aca="false">COUNTIF(Scenarios!P2:P500,"check")</f>
        <v>0</v>
      </c>
    </row>
    <row r="6" customFormat="false" ht="15" hidden="false" customHeight="true" outlineLevel="0" collapsed="false">
      <c r="A6" s="32" t="s">
        <v>996</v>
      </c>
      <c r="B6" s="33" t="n">
        <f aca="false">COUNTIF('Safety functions'!M2:M200,0)</f>
        <v>0</v>
      </c>
    </row>
    <row r="7" customFormat="false" ht="15" hidden="false" customHeight="true" outlineLevel="0" collapsed="false">
      <c r="A7" s="32" t="s">
        <v>997</v>
      </c>
      <c r="B7" s="33" t="n">
        <f aca="false">SUMPRODUCT((Scenarios!A2:A500&lt;&gt;"")*(COUNTIF(Lists!A2:A60,Scenarios!C2:C500)=0))</f>
        <v>0</v>
      </c>
    </row>
    <row r="8" customFormat="false" ht="15" hidden="false" customHeight="true" outlineLevel="0" collapsed="false">
      <c r="A8" s="32" t="s">
        <v>998</v>
      </c>
      <c r="B8" s="33" t="n">
        <f aca="false">SUMPRODUCT((Scenarios!A2:A500&lt;&gt;"")*(COUNTIF(Lists!E2:E60,Scenarios!B2:B500)=0))</f>
        <v>0</v>
      </c>
    </row>
    <row r="10" customFormat="false" ht="15" hidden="false" customHeight="true" outlineLevel="0" collapsed="false">
      <c r="A10" s="34" t="s">
        <v>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2026-09-25T03:41:42Z</dcterms:created>
  <dc:creator>openpyxl</dc:creator>
  <dc:description/>
  <dc:language>en-US</dc:language>
  <cp:lastModifiedBy/>
  <dcterms:modified xsi:type="dcterms:W3CDTF">2026-09-25T04:27:30Z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